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'Comparativo'!$A$5:$N$14</definedName>
    <definedName name="_xlnm._FilterDatabase" localSheetId="2" hidden="1">'Planejado'!$A$4:$T$13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SUMIFS(Planejado!$T$5:$T$13,Planejado!$B$5:$B$13,"Jurídico",Planejado!$C$5:$C$13,"Equipe")</f>
        <v/>
      </c>
      <c r="D6" s="9">
        <f>SUMIFS(Comparativo!$I$6:$I$14,Comparativo!$B$6:$B$14,"Jurídico",Comparativo!$C$6:$C$14,"Equipe")</f>
        <v/>
      </c>
      <c r="E6" s="9">
        <f>SUMIFS(Comparativo!$J$6:$J$14,Comparativo!$B$6:$B$14,"Jurídico",Comparativo!$C$6:$C$14,"Equipe")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SUMIFS(Planejado!$T$5:$T$13,Planejado!$B$5:$B$13,"Jurídico",Planejado!$C$5:$C$13,"Despesas")</f>
        <v/>
      </c>
      <c r="D7" s="9">
        <f>SUMIFS(Comparativo!$I$6:$I$14,Comparativo!$B$6:$B$14,"Jurídico",Comparativo!$C$6:$C$14,"Despesas")</f>
        <v/>
      </c>
      <c r="E7" s="9">
        <f>SUMIFS(Comparativo!$J$6:$J$14,Comparativo!$B$6:$B$14,"Jurídico",Comparativo!$C$6:$C$14,"Despesas")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SUMIFS(Planejado!$T$5:$T$13,Planejado!$B$5:$B$13,"Jurídico")</f>
        <v/>
      </c>
      <c r="D8" s="13">
        <f>SUMIFS(Comparativo!$I$6:$I$14,Comparativo!$B$6:$B$14,"Jurídico")</f>
        <v/>
      </c>
      <c r="E8" s="13">
        <f>SUMIFS(Comparativo!$J$6:$J$14,Comparativo!$B$6:$B$14,"Jurídico")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COUNTIFS(Comparativo!$P$6:$P$14,"&gt;0",Comparativo!$B$6:$B$14,"Jurídico")&amp;" de "&amp;COUNTIFS(Comparativo!$A$6:$A$14,"?*",Comparativo!$B$6:$B$14,"Jurídico")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-SUMIF(Comparativo!$Q$6:$Q$14,"&lt;0")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-SUMIF(Comparativo!$Q$6:$Q$14,"&gt;0")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-SUM(Comparativo!$Q$6:$Q$14)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IFERROR(-SUM(Comparativo!$Q$6:$Q$14)/Comparativo!$D$3*12,"")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IFERROR(-SUM(Comparativo!$Q$6:$Q$14)/SUM(Comparativo!$S$6:$S$14),"")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IFERROR(INDEX(Comparativo!$D$6:$D$14,MATCH(LARGE(Comparativo!$R$6:$R$14,A21),Comparativo!$R$6:$R$14,0)),"")</f>
        <v/>
      </c>
      <c r="C21" s="27">
        <f>IFERROR(INDEX(Comparativo!$B$6:$B$14,MATCH(LARGE(Comparativo!$R$6:$R$14,A21),Comparativo!$R$6:$R$14,0)),"")</f>
        <v/>
      </c>
      <c r="D21" s="28">
        <f>IFERROR(INDEX(Comparativo!$I$6:$I$14,MATCH(LARGE(Comparativo!$R$6:$R$14,A21),Comparativo!$R$6:$R$14,0)),"")</f>
        <v/>
      </c>
      <c r="E21" s="28">
        <f>IFERROR(INDEX(Comparativo!$J$6:$J$14,MATCH(LARGE(Comparativo!$R$6:$R$14,A21),Comparativo!$R$6:$R$14,0)),"")</f>
        <v/>
      </c>
      <c r="F21" s="29">
        <f>IFERROR(-IFERROR(INDEX(Comparativo!$K$6:$K$14,MATCH(LARGE(Comparativo!$R$6:$R$14,A21),Comparativo!$R$6:$R$14,0)),""),"")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IFERROR(INDEX(Comparativo!$D$6:$D$14,MATCH(LARGE(Comparativo!$R$6:$R$14,A22),Comparativo!$R$6:$R$14,0)),"")</f>
        <v/>
      </c>
      <c r="C22" s="27">
        <f>IFERROR(INDEX(Comparativo!$B$6:$B$14,MATCH(LARGE(Comparativo!$R$6:$R$14,A22),Comparativo!$R$6:$R$14,0)),"")</f>
        <v/>
      </c>
      <c r="D22" s="28">
        <f>IFERROR(INDEX(Comparativo!$I$6:$I$14,MATCH(LARGE(Comparativo!$R$6:$R$14,A22),Comparativo!$R$6:$R$14,0)),"")</f>
        <v/>
      </c>
      <c r="E22" s="28">
        <f>IFERROR(INDEX(Comparativo!$J$6:$J$14,MATCH(LARGE(Comparativo!$R$6:$R$14,A22),Comparativo!$R$6:$R$14,0)),"")</f>
        <v/>
      </c>
      <c r="F22" s="29">
        <f>IFERROR(-IFERROR(INDEX(Comparativo!$K$6:$K$14,MATCH(LARGE(Comparativo!$R$6:$R$14,A22),Comparativo!$R$6:$R$14,0)),""),"")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IFERROR(INDEX(Comparativo!$D$6:$D$14,MATCH(LARGE(Comparativo!$R$6:$R$14,A23),Comparativo!$R$6:$R$14,0)),"")</f>
        <v/>
      </c>
      <c r="C23" s="27">
        <f>IFERROR(INDEX(Comparativo!$B$6:$B$14,MATCH(LARGE(Comparativo!$R$6:$R$14,A23),Comparativo!$R$6:$R$14,0)),"")</f>
        <v/>
      </c>
      <c r="D23" s="28">
        <f>IFERROR(INDEX(Comparativo!$I$6:$I$14,MATCH(LARGE(Comparativo!$R$6:$R$14,A23),Comparativo!$R$6:$R$14,0)),"")</f>
        <v/>
      </c>
      <c r="E23" s="28">
        <f>IFERROR(INDEX(Comparativo!$J$6:$J$14,MATCH(LARGE(Comparativo!$R$6:$R$14,A23),Comparativo!$R$6:$R$14,0)),"")</f>
        <v/>
      </c>
      <c r="F23" s="29">
        <f>IFERROR(-IFERROR(INDEX(Comparativo!$K$6:$K$14,MATCH(LARGE(Comparativo!$R$6:$R$14,A23),Comparativo!$R$6:$R$14,0)),""),"")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IFERROR(INDEX(Comparativo!$D$6:$D$14,MATCH(LARGE(Comparativo!$R$6:$R$14,A24),Comparativo!$R$6:$R$14,0)),"")</f>
        <v/>
      </c>
      <c r="C24" s="27">
        <f>IFERROR(INDEX(Comparativo!$B$6:$B$14,MATCH(LARGE(Comparativo!$R$6:$R$14,A24),Comparativo!$R$6:$R$14,0)),"")</f>
        <v/>
      </c>
      <c r="D24" s="28">
        <f>IFERROR(INDEX(Comparativo!$I$6:$I$14,MATCH(LARGE(Comparativo!$R$6:$R$14,A24),Comparativo!$R$6:$R$14,0)),"")</f>
        <v/>
      </c>
      <c r="E24" s="28">
        <f>IFERROR(INDEX(Comparativo!$J$6:$J$14,MATCH(LARGE(Comparativo!$R$6:$R$14,A24),Comparativo!$R$6:$R$14,0)),"")</f>
        <v/>
      </c>
      <c r="F24" s="29">
        <f>IFERROR(-IFERROR(INDEX(Comparativo!$K$6:$K$14,MATCH(LARGE(Comparativo!$R$6:$R$14,A24),Comparativo!$R$6:$R$14,0)),""),"")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IFERROR(INDEX(Comparativo!$D$6:$D$14,MATCH(LARGE(Comparativo!$R$6:$R$14,A25),Comparativo!$R$6:$R$14,0)),"")</f>
        <v/>
      </c>
      <c r="C25" s="27">
        <f>IFERROR(INDEX(Comparativo!$B$6:$B$14,MATCH(LARGE(Comparativo!$R$6:$R$14,A25),Comparativo!$R$6:$R$14,0)),"")</f>
        <v/>
      </c>
      <c r="D25" s="28">
        <f>IFERROR(INDEX(Comparativo!$I$6:$I$14,MATCH(LARGE(Comparativo!$R$6:$R$14,A25),Comparativo!$R$6:$R$14,0)),"")</f>
        <v/>
      </c>
      <c r="E25" s="28">
        <f>IFERROR(INDEX(Comparativo!$J$6:$J$14,MATCH(LARGE(Comparativo!$R$6:$R$14,A25),Comparativo!$R$6:$R$14,0)),"")</f>
        <v/>
      </c>
      <c r="F25" s="29">
        <f>IFERROR(-IFERROR(INDEX(Comparativo!$K$6:$K$14,MATCH(LARGE(Comparativo!$R$6:$R$14,A25),Comparativo!$R$6:$R$14,0)),""),"")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IFERROR(INDEX(Comparativo!$D$6:$D$14,MATCH(LARGE(Comparativo!$O$6:$O$14,A30),Comparativo!$O$6:$O$14,0)),"")</f>
        <v/>
      </c>
      <c r="C30" s="27">
        <f>IFERROR(INDEX(Comparativo!$B$6:$B$14,MATCH(LARGE(Comparativo!$O$6:$O$14,A30),Comparativo!$O$6:$O$14,0)),"")</f>
        <v/>
      </c>
      <c r="D30" s="28">
        <f>IFERROR(INDEX(Comparativo!$I$6:$I$14,MATCH(LARGE(Comparativo!$O$6:$O$14,A30),Comparativo!$O$6:$O$14,0)),"")</f>
        <v/>
      </c>
      <c r="E30" s="28">
        <f>IFERROR(INDEX(Comparativo!$J$6:$J$14,MATCH(LARGE(Comparativo!$O$6:$O$14,A30),Comparativo!$O$6:$O$14,0)),"")</f>
        <v/>
      </c>
      <c r="F30" s="28">
        <f>IFERROR(INDEX(Comparativo!$K$6:$K$14,MATCH(LARGE(Comparativo!$O$6:$O$14,A30),Comparativo!$O$6:$O$14,0)),"")</f>
        <v/>
      </c>
      <c r="G30" s="30">
        <f>IFERROR(F30/D30,"")</f>
        <v/>
      </c>
    </row>
    <row r="31">
      <c r="A31" s="26" t="n">
        <v>2</v>
      </c>
      <c r="B31" s="27">
        <f>IFERROR(INDEX(Comparativo!$D$6:$D$14,MATCH(LARGE(Comparativo!$O$6:$O$14,A31),Comparativo!$O$6:$O$14,0)),"")</f>
        <v/>
      </c>
      <c r="C31" s="27">
        <f>IFERROR(INDEX(Comparativo!$B$6:$B$14,MATCH(LARGE(Comparativo!$O$6:$O$14,A31),Comparativo!$O$6:$O$14,0)),"")</f>
        <v/>
      </c>
      <c r="D31" s="28">
        <f>IFERROR(INDEX(Comparativo!$I$6:$I$14,MATCH(LARGE(Comparativo!$O$6:$O$14,A31),Comparativo!$O$6:$O$14,0)),"")</f>
        <v/>
      </c>
      <c r="E31" s="28">
        <f>IFERROR(INDEX(Comparativo!$J$6:$J$14,MATCH(LARGE(Comparativo!$O$6:$O$14,A31),Comparativo!$O$6:$O$14,0)),"")</f>
        <v/>
      </c>
      <c r="F31" s="28">
        <f>IFERROR(INDEX(Comparativo!$K$6:$K$14,MATCH(LARGE(Comparativo!$O$6:$O$14,A31),Comparativo!$O$6:$O$14,0)),"")</f>
        <v/>
      </c>
      <c r="G31" s="30">
        <f>IFERROR(F31/D31,"")</f>
        <v/>
      </c>
    </row>
    <row r="32">
      <c r="A32" s="26" t="n">
        <v>3</v>
      </c>
      <c r="B32" s="27">
        <f>IFERROR(INDEX(Comparativo!$D$6:$D$14,MATCH(LARGE(Comparativo!$O$6:$O$14,A32),Comparativo!$O$6:$O$14,0)),"")</f>
        <v/>
      </c>
      <c r="C32" s="27">
        <f>IFERROR(INDEX(Comparativo!$B$6:$B$14,MATCH(LARGE(Comparativo!$O$6:$O$14,A32),Comparativo!$O$6:$O$14,0)),"")</f>
        <v/>
      </c>
      <c r="D32" s="28">
        <f>IFERROR(INDEX(Comparativo!$I$6:$I$14,MATCH(LARGE(Comparativo!$O$6:$O$14,A32),Comparativo!$O$6:$O$14,0)),"")</f>
        <v/>
      </c>
      <c r="E32" s="28">
        <f>IFERROR(INDEX(Comparativo!$J$6:$J$14,MATCH(LARGE(Comparativo!$O$6:$O$14,A32),Comparativo!$O$6:$O$14,0)),"")</f>
        <v/>
      </c>
      <c r="F32" s="28">
        <f>IFERROR(INDEX(Comparativo!$K$6:$K$14,MATCH(LARGE(Comparativo!$O$6:$O$14,A32),Comparativo!$O$6:$O$14,0)),"")</f>
        <v/>
      </c>
      <c r="G32" s="30">
        <f>IFERROR(F32/D32,"")</f>
        <v/>
      </c>
    </row>
    <row r="33">
      <c r="A33" s="26" t="n">
        <v>4</v>
      </c>
      <c r="B33" s="27">
        <f>IFERROR(INDEX(Comparativo!$D$6:$D$14,MATCH(LARGE(Comparativo!$O$6:$O$14,A33),Comparativo!$O$6:$O$14,0)),"")</f>
        <v/>
      </c>
      <c r="C33" s="27">
        <f>IFERROR(INDEX(Comparativo!$B$6:$B$14,MATCH(LARGE(Comparativo!$O$6:$O$14,A33),Comparativo!$O$6:$O$14,0)),"")</f>
        <v/>
      </c>
      <c r="D33" s="28">
        <f>IFERROR(INDEX(Comparativo!$I$6:$I$14,MATCH(LARGE(Comparativo!$O$6:$O$14,A33),Comparativo!$O$6:$O$14,0)),"")</f>
        <v/>
      </c>
      <c r="E33" s="28">
        <f>IFERROR(INDEX(Comparativo!$J$6:$J$14,MATCH(LARGE(Comparativo!$O$6:$O$14,A33),Comparativo!$O$6:$O$14,0)),"")</f>
        <v/>
      </c>
      <c r="F33" s="28">
        <f>IFERROR(INDEX(Comparativo!$K$6:$K$14,MATCH(LARGE(Comparativo!$O$6:$O$14,A33),Comparativo!$O$6:$O$14,0)),"")</f>
        <v/>
      </c>
      <c r="G33" s="30">
        <f>IFERROR(F33/D33,"")</f>
        <v/>
      </c>
    </row>
    <row r="34">
      <c r="A34" s="26" t="n">
        <v>5</v>
      </c>
      <c r="B34" s="27">
        <f>IFERROR(INDEX(Comparativo!$D$6:$D$14,MATCH(LARGE(Comparativo!$O$6:$O$14,A34),Comparativo!$O$6:$O$14,0)),"")</f>
        <v/>
      </c>
      <c r="C34" s="27">
        <f>IFERROR(INDEX(Comparativo!$B$6:$B$14,MATCH(LARGE(Comparativo!$O$6:$O$14,A34),Comparativo!$O$6:$O$14,0)),"")</f>
        <v/>
      </c>
      <c r="D34" s="28">
        <f>IFERROR(INDEX(Comparativo!$I$6:$I$14,MATCH(LARGE(Comparativo!$O$6:$O$14,A34),Comparativo!$O$6:$O$14,0)),"")</f>
        <v/>
      </c>
      <c r="E34" s="28">
        <f>IFERROR(INDEX(Comparativo!$J$6:$J$14,MATCH(LARGE(Comparativo!$O$6:$O$14,A34),Comparativo!$O$6:$O$14,0)),"")</f>
        <v/>
      </c>
      <c r="F34" s="28">
        <f>IFERROR(INDEX(Comparativo!$K$6:$K$14,MATCH(LARGE(Comparativo!$O$6:$O$14,A34),Comparativo!$O$6:$O$14,0)),"")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31">
      <c r="A31" s="43" t="inlineStr">
        <is>
          <t>TOTAL GERAL</t>
        </is>
      </c>
      <c r="B31" s="43" t="n"/>
      <c r="C31" s="43" t="n"/>
      <c r="D31" s="43" t="n"/>
      <c r="E31" s="43" t="n"/>
      <c r="F31" s="44">
        <f>SUM(F6:F14)</f>
        <v/>
      </c>
      <c r="G31" s="44">
        <f>SUM(G6:G14)</f>
        <v/>
      </c>
      <c r="H31" s="44">
        <f>SUM(H6:H14)</f>
        <v/>
      </c>
      <c r="I31" s="44">
        <f>SUM(I6:I14)</f>
        <v/>
      </c>
      <c r="J31" s="44">
        <f>SUM(J6:J14)</f>
        <v/>
      </c>
      <c r="K31" s="44">
        <f>SUM(K6:K14)</f>
        <v/>
      </c>
      <c r="L31" s="45">
        <f>IFERROR(K31/I31,"")</f>
        <v/>
      </c>
      <c r="M31" s="45">
        <f>IFERROR(J31/I31,"")</f>
        <v/>
      </c>
      <c r="N31" s="43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JUR-D01</t>
        </is>
      </c>
      <c r="B8" s="36" t="inlineStr">
        <is>
          <t>Jurídico</t>
        </is>
      </c>
      <c r="C8" s="36" t="inlineStr">
        <is>
          <t>Despesas</t>
        </is>
      </c>
      <c r="D8" s="37" t="inlineStr">
        <is>
          <t>JUSFY</t>
        </is>
      </c>
      <c r="E8" s="37" t="inlineStr">
        <is>
          <t>Fase de teste com objetivo de eliminar o Astrea</t>
        </is>
      </c>
      <c r="F8" s="36" t="inlineStr"/>
      <c r="G8" s="36" t="inlineStr">
        <is>
          <t>Licenças de Softwares</t>
        </is>
      </c>
      <c r="H8" s="38" t="n">
        <v>100</v>
      </c>
      <c r="I8" s="38" t="n">
        <v>100</v>
      </c>
      <c r="J8" s="38" t="n">
        <v>100</v>
      </c>
      <c r="K8" s="38" t="n">
        <v>100</v>
      </c>
      <c r="L8" s="38" t="n">
        <v>100</v>
      </c>
      <c r="M8" s="38" t="n">
        <v>100</v>
      </c>
      <c r="N8" s="38" t="n">
        <v>100</v>
      </c>
      <c r="O8" s="38" t="n">
        <v>100</v>
      </c>
      <c r="P8" s="38" t="n">
        <v>100</v>
      </c>
      <c r="Q8" s="38" t="n">
        <v>100</v>
      </c>
      <c r="R8" s="38" t="n">
        <v>100</v>
      </c>
      <c r="S8" s="38" t="n">
        <v>100</v>
      </c>
      <c r="T8" s="46">
        <f>SUM(H8:S8)</f>
        <v/>
      </c>
    </row>
    <row r="9" ht="26" customHeight="1">
      <c r="A9" s="36" t="inlineStr">
        <is>
          <t>JUR-D02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JUSBRASIL</t>
        </is>
      </c>
      <c r="E9" s="37" t="inlineStr">
        <is>
          <t>ORÇAMENTO VEIO ERRADO: orçado R$ 104,90/mês, custo real R$ 136,00/mês. Corrigir na revisão orçamentária</t>
        </is>
      </c>
      <c r="F9" s="36" t="inlineStr"/>
      <c r="G9" s="36" t="inlineStr">
        <is>
          <t>Licenças de Softwares</t>
        </is>
      </c>
      <c r="H9" s="38" t="n">
        <v>104.9</v>
      </c>
      <c r="I9" s="38" t="n">
        <v>104.9</v>
      </c>
      <c r="J9" s="38" t="n">
        <v>104.9</v>
      </c>
      <c r="K9" s="38" t="n">
        <v>104.9</v>
      </c>
      <c r="L9" s="38" t="n">
        <v>104.9</v>
      </c>
      <c r="M9" s="38" t="n">
        <v>104.9</v>
      </c>
      <c r="N9" s="38" t="n">
        <v>104.9</v>
      </c>
      <c r="O9" s="38" t="n">
        <v>104.9</v>
      </c>
      <c r="P9" s="38" t="n">
        <v>104.9</v>
      </c>
      <c r="Q9" s="38" t="n">
        <v>104.9</v>
      </c>
      <c r="R9" s="38" t="n">
        <v>104.9</v>
      </c>
      <c r="S9" s="38" t="n">
        <v>104.9</v>
      </c>
      <c r="T9" s="46">
        <f>SUM(H9:S9)</f>
        <v/>
      </c>
    </row>
    <row r="10" ht="26" customHeight="1">
      <c r="A10" s="36" t="inlineStr">
        <is>
          <t>JUR-D03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ASTREA</t>
        </is>
      </c>
      <c r="E10" s="37" t="inlineStr">
        <is>
          <t>ORÇAMENTO VEIO ERRADO: orçado R$ 112,07/mês, custo real R$ 346,00/mês. Corrigir na revisão orçamentária</t>
        </is>
      </c>
      <c r="F10" s="36" t="inlineStr"/>
      <c r="G10" s="36" t="inlineStr">
        <is>
          <t>Licenças de Softwares</t>
        </is>
      </c>
      <c r="H10" s="38" t="n">
        <v>112.07</v>
      </c>
      <c r="I10" s="38" t="n">
        <v>112.07</v>
      </c>
      <c r="J10" s="38" t="n">
        <v>112.07</v>
      </c>
      <c r="K10" s="38" t="n">
        <v>112.07</v>
      </c>
      <c r="L10" s="38" t="n">
        <v>112.07</v>
      </c>
      <c r="M10" s="38" t="n">
        <v>112.07</v>
      </c>
      <c r="N10" s="38" t="n">
        <v>112.07</v>
      </c>
      <c r="O10" s="38" t="n">
        <v>112.07</v>
      </c>
      <c r="P10" s="38" t="n">
        <v>112.07</v>
      </c>
      <c r="Q10" s="38" t="n">
        <v>112.07</v>
      </c>
      <c r="R10" s="38" t="n">
        <v>112.07</v>
      </c>
      <c r="S10" s="38" t="n">
        <v>112.07</v>
      </c>
      <c r="T10" s="46">
        <f>SUM(H10:S10)</f>
        <v/>
      </c>
    </row>
    <row r="11" ht="26" customHeight="1">
      <c r="A11" s="36" t="inlineStr">
        <is>
          <t>JUR-D04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LEME</t>
        </is>
      </c>
      <c r="E11" s="37" t="inlineStr"/>
      <c r="F11" s="36" t="inlineStr"/>
      <c r="G11" s="36" t="inlineStr">
        <is>
          <t>Licenças de Softwares</t>
        </is>
      </c>
      <c r="H11" s="38" t="n">
        <v>1030</v>
      </c>
      <c r="I11" s="38" t="n">
        <v>1030</v>
      </c>
      <c r="J11" s="38" t="n">
        <v>1030</v>
      </c>
      <c r="K11" s="38" t="n">
        <v>1030</v>
      </c>
      <c r="L11" s="38" t="n">
        <v>1030</v>
      </c>
      <c r="M11" s="38" t="n">
        <v>1030</v>
      </c>
      <c r="N11" s="38" t="n">
        <v>1030</v>
      </c>
      <c r="O11" s="38" t="n">
        <v>1030</v>
      </c>
      <c r="P11" s="38" t="n">
        <v>1030</v>
      </c>
      <c r="Q11" s="38" t="n">
        <v>1030</v>
      </c>
      <c r="R11" s="38" t="n">
        <v>1030</v>
      </c>
      <c r="S11" s="38" t="n">
        <v>1030</v>
      </c>
      <c r="T11" s="46">
        <f>SUM(H11:S11)</f>
        <v/>
      </c>
    </row>
    <row r="12" ht="26" customHeight="1">
      <c r="A12" s="36" t="inlineStr">
        <is>
          <t>JUR-D05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Cursos / Eventos / Network</t>
        </is>
      </c>
      <c r="E12" s="37" t="inlineStr"/>
      <c r="F12" s="36" t="inlineStr"/>
      <c r="G12" s="36" t="inlineStr">
        <is>
          <t>Custeio de Treinamento</t>
        </is>
      </c>
      <c r="H12" s="38" t="n">
        <v>1000</v>
      </c>
      <c r="I12" s="38" t="n">
        <v>1000</v>
      </c>
      <c r="J12" s="38" t="n">
        <v>1000</v>
      </c>
      <c r="K12" s="38" t="n">
        <v>1000</v>
      </c>
      <c r="L12" s="38" t="n">
        <v>1000</v>
      </c>
      <c r="M12" s="38" t="n">
        <v>1000</v>
      </c>
      <c r="N12" s="38" t="n">
        <v>1000</v>
      </c>
      <c r="O12" s="38" t="n">
        <v>1000</v>
      </c>
      <c r="P12" s="38" t="n">
        <v>1000</v>
      </c>
      <c r="Q12" s="38" t="n">
        <v>1000</v>
      </c>
      <c r="R12" s="38" t="n">
        <v>1000</v>
      </c>
      <c r="S12" s="38" t="n">
        <v>1000</v>
      </c>
      <c r="T12" s="46">
        <f>SUM(H12:S12)</f>
        <v/>
      </c>
    </row>
    <row r="13" ht="26" customHeight="1">
      <c r="A13" s="36" t="inlineStr">
        <is>
          <t>JUR-D06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Bonificações trimestrais/semestrais do time</t>
        </is>
      </c>
      <c r="E13" s="37" t="inlineStr">
        <is>
          <t>Participação em projetos e atingimento de resultados — CONFIRMAR se houve parcela no 1º quadrimestre</t>
        </is>
      </c>
      <c r="F13" s="36" t="inlineStr"/>
      <c r="G13" s="36" t="inlineStr">
        <is>
          <t>Prêmios</t>
        </is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0</v>
      </c>
      <c r="M13" s="38" t="n">
        <v>0</v>
      </c>
      <c r="N13" s="38" t="n">
        <v>0</v>
      </c>
      <c r="O13" s="38" t="n">
        <v>10293.6</v>
      </c>
      <c r="P13" s="38" t="n">
        <v>0</v>
      </c>
      <c r="Q13" s="38" t="n">
        <v>0</v>
      </c>
      <c r="R13" s="38" t="n">
        <v>0</v>
      </c>
      <c r="S13" s="38" t="n">
        <v>12867</v>
      </c>
      <c r="T13" s="46">
        <f>SUM(H13:S13)</f>
        <v/>
      </c>
    </row>
    <row r="14">
      <c r="A14" s="43" t="inlineStr">
        <is>
          <t>TOTAL GERAL</t>
        </is>
      </c>
      <c r="B14" s="43" t="n"/>
      <c r="C14" s="43" t="n"/>
      <c r="D14" s="43" t="n"/>
      <c r="E14" s="43" t="n"/>
      <c r="F14" s="43" t="n"/>
      <c r="G14" s="43" t="n"/>
      <c r="H14" s="44">
        <f>SUM(H5:H13)</f>
        <v/>
      </c>
      <c r="I14" s="44">
        <f>SUM(I5:I13)</f>
        <v/>
      </c>
      <c r="J14" s="44">
        <f>SUM(J5:J13)</f>
        <v/>
      </c>
      <c r="K14" s="44">
        <f>SUM(K5:K13)</f>
        <v/>
      </c>
      <c r="L14" s="44">
        <f>SUM(L5:L13)</f>
        <v/>
      </c>
      <c r="M14" s="44">
        <f>SUM(M5:M13)</f>
        <v/>
      </c>
      <c r="N14" s="44">
        <f>SUM(N5:N13)</f>
        <v/>
      </c>
      <c r="O14" s="44">
        <f>SUM(O5:O13)</f>
        <v/>
      </c>
      <c r="P14" s="44">
        <f>SUM(P5:P13)</f>
        <v/>
      </c>
      <c r="Q14" s="44">
        <f>SUM(Q5:Q13)</f>
        <v/>
      </c>
      <c r="R14" s="44">
        <f>SUM(R5:R13)</f>
        <v/>
      </c>
      <c r="S14" s="44">
        <f>SUM(S5:S13)</f>
        <v/>
      </c>
      <c r="T14" s="44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0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0</v>
      </c>
      <c r="N8" s="50" t="n">
        <v>0</v>
      </c>
      <c r="O8" s="50" t="n"/>
      <c r="T8" s="46">
        <f>SUM(H8:S8)</f>
        <v/>
      </c>
      <c r="U8" s="51" t="inlineStr">
        <is>
          <t>Gestora, 05/08/26</t>
        </is>
      </c>
      <c r="V8" s="51" t="inlineStr">
        <is>
          <t>Ainda não iniciado — sem cobrança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136</v>
      </c>
      <c r="I9" s="50" t="n">
        <v>136</v>
      </c>
      <c r="J9" s="50" t="n">
        <v>136</v>
      </c>
      <c r="K9" s="50" t="n">
        <v>136</v>
      </c>
      <c r="L9" s="50" t="n">
        <v>136</v>
      </c>
      <c r="M9" s="50" t="n">
        <v>136</v>
      </c>
      <c r="N9" s="50" t="n">
        <v>136</v>
      </c>
      <c r="O9" s="50" t="n"/>
      <c r="T9" s="46">
        <f>SUM(H9:S9)</f>
        <v/>
      </c>
      <c r="U9" s="51" t="inlineStr">
        <is>
          <t>Gestora, 05/08/26</t>
        </is>
      </c>
      <c r="V9" s="51" t="inlineStr">
        <is>
          <t>R$ 136,00/mês contra R$ 104,90 orçados. Erro no orçamento original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346</v>
      </c>
      <c r="I10" s="50" t="n">
        <v>346</v>
      </c>
      <c r="J10" s="50" t="n">
        <v>346</v>
      </c>
      <c r="K10" s="50" t="n">
        <v>346</v>
      </c>
      <c r="L10" s="50" t="n">
        <v>346</v>
      </c>
      <c r="M10" s="50" t="n">
        <v>346</v>
      </c>
      <c r="N10" s="50" t="n">
        <v>346</v>
      </c>
      <c r="O10" s="50" t="n"/>
      <c r="T10" s="46">
        <f>SUM(H10:S10)</f>
        <v/>
      </c>
      <c r="U10" s="51" t="inlineStr">
        <is>
          <t>Gestora, 05/08/26</t>
        </is>
      </c>
      <c r="V10" s="51" t="inlineStr">
        <is>
          <t>R$ 346,00/mês — 3x o orçado (R$ 112,07).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970</v>
      </c>
      <c r="I11" s="50" t="n">
        <v>970</v>
      </c>
      <c r="J11" s="50" t="n">
        <v>970</v>
      </c>
      <c r="K11" s="50" t="n">
        <v>970</v>
      </c>
      <c r="L11" s="50" t="n">
        <v>970</v>
      </c>
      <c r="M11" s="50" t="n">
        <v>970</v>
      </c>
      <c r="N11" s="50" t="n">
        <v>970</v>
      </c>
      <c r="O11" s="50" t="n"/>
      <c r="T11" s="46">
        <f>SUM(H11:S11)</f>
        <v/>
      </c>
      <c r="U11" s="51" t="inlineStr">
        <is>
          <t>Gestora, 05/08/26</t>
        </is>
      </c>
      <c r="V11" s="51" t="n"/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0</v>
      </c>
      <c r="I12" s="50" t="n">
        <v>0</v>
      </c>
      <c r="J12" s="50" t="n">
        <v>0</v>
      </c>
      <c r="K12" s="50" t="n">
        <v>0</v>
      </c>
      <c r="L12" s="50" t="n">
        <v>0</v>
      </c>
      <c r="M12" s="50" t="n">
        <v>0</v>
      </c>
      <c r="N12" s="50" t="n">
        <v>0</v>
      </c>
      <c r="O12" s="50" t="n"/>
      <c r="T12" s="46">
        <f>SUM(H12:S12)</f>
        <v/>
      </c>
      <c r="U12" s="51" t="inlineStr">
        <is>
          <t>Gestora, 05/08/26</t>
        </is>
      </c>
      <c r="V12" s="51" t="inlineStr">
        <is>
          <t>Sem gasto no período</t>
        </is>
      </c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T13" s="46">
        <f>SUM(H13:S13)</f>
        <v/>
      </c>
      <c r="U13" s="51" t="inlineStr">
        <is>
          <t>Gestora, 05/08/26</t>
        </is>
      </c>
      <c r="V13" s="51" t="inlineStr">
        <is>
          <t>Sem parcela no 1º semestre; bonificação de ago/26 a confirmar</t>
        </is>
      </c>
    </row>
    <row r="14">
      <c r="A14" s="52" t="inlineStr">
        <is>
          <t>TOTAL GERAL</t>
        </is>
      </c>
      <c r="B14" s="52" t="n"/>
      <c r="C14" s="52" t="n"/>
      <c r="D14" s="52" t="n"/>
      <c r="E14" s="52" t="n"/>
      <c r="F14" s="52" t="n"/>
      <c r="G14" s="52" t="n"/>
      <c r="H14" s="53">
        <f>SUM(H5:H13)</f>
        <v/>
      </c>
      <c r="I14" s="53">
        <f>SUM(I5:I13)</f>
        <v/>
      </c>
      <c r="J14" s="53">
        <f>SUM(J5:J13)</f>
        <v/>
      </c>
      <c r="K14" s="53">
        <f>SUM(K5:K13)</f>
        <v/>
      </c>
      <c r="L14" s="53">
        <f>SUM(L5:L13)</f>
        <v/>
      </c>
      <c r="M14" s="53">
        <f>SUM(M5:M13)</f>
        <v/>
      </c>
      <c r="N14" s="53">
        <f>SUM(N5:N13)</f>
        <v/>
      </c>
      <c r="O14" s="53">
        <f>SUM(O5:O13)</f>
        <v/>
      </c>
      <c r="P14" s="53">
        <f>SUM(P5:P13)</f>
        <v/>
      </c>
      <c r="Q14" s="53">
        <f>SUM(Q5:Q13)</f>
        <v/>
      </c>
      <c r="R14" s="53">
        <f>SUM(R5:R13)</f>
        <v/>
      </c>
      <c r="S14" s="53">
        <f>SUM(S5:S13)</f>
        <v/>
      </c>
      <c r="T14" s="53">
        <f>SUM(T5:T13)</f>
        <v/>
      </c>
      <c r="U14" s="52" t="n"/>
      <c r="V14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SUMIFS(Planejado!$H$5:$H$13,Planejado!$B$5:$B$13,"Jurídico")</f>
        <v/>
      </c>
      <c r="C5" s="38">
        <f>SUMIFS(Realizado!$H$5:$H$13,Realizado!$B$5:$B$13,"Jurídico")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SUMIFS(Planejado!$I$5:$I$13,Planejado!$B$5:$B$13,"Jurídico")</f>
        <v/>
      </c>
      <c r="C6" s="56">
        <f>SUMIFS(Realizado!$I$5:$I$13,Realizado!$B$5:$B$13,"Jurídico")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SUMIFS(Planejado!$J$5:$J$13,Planejado!$B$5:$B$13,"Jurídico")</f>
        <v/>
      </c>
      <c r="C7" s="38">
        <f>SUMIFS(Realizado!$J$5:$J$13,Realizado!$B$5:$B$13,"Jurídico")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SUMIFS(Planejado!$K$5:$K$13,Planejado!$B$5:$B$13,"Jurídico")</f>
        <v/>
      </c>
      <c r="C8" s="56">
        <f>SUMIFS(Realizado!$K$5:$K$13,Realizado!$B$5:$B$13,"Jurídico")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SUMIFS(Planejado!$L$5:$L$13,Planejado!$B$5:$B$13,"Jurídico")</f>
        <v/>
      </c>
      <c r="C9" s="38">
        <f>SUMIFS(Realizado!$L$5:$L$13,Realizado!$B$5:$B$13,"Jurídico")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SUMIFS(Planejado!$M$5:$M$13,Planejado!$B$5:$B$13,"Jurídico")</f>
        <v/>
      </c>
      <c r="C10" s="56">
        <f>SUMIFS(Realizado!$M$5:$M$13,Realizado!$B$5:$B$13,"Jurídico")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SUMIFS(Planejado!$N$5:$N$13,Planejado!$B$5:$B$13,"Jurídico")</f>
        <v/>
      </c>
      <c r="C11" s="38">
        <f>SUMIFS(Realizado!$N$5:$N$13,Realizado!$B$5:$B$13,"Jurídico")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SUMIFS(Planejado!$O$5:$O$13,Planejado!$B$5:$B$13,"Jurídico")</f>
        <v/>
      </c>
      <c r="C12" s="56">
        <f>SUMIFS(Realizado!$O$5:$O$13,Realizado!$B$5:$B$13,"Jurídico")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SUMIFS(Planejado!$P$5:$P$13,Planejado!$B$5:$B$13,"Jurídico")</f>
        <v/>
      </c>
      <c r="C13" s="38">
        <f>SUMIFS(Realizado!$P$5:$P$13,Realizado!$B$5:$B$13,"Jurídico")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SUMIFS(Planejado!$Q$5:$Q$13,Planejado!$B$5:$B$13,"Jurídico")</f>
        <v/>
      </c>
      <c r="C14" s="56">
        <f>SUMIFS(Realizado!$Q$5:$Q$13,Realizado!$B$5:$B$13,"Jurídico")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SUMIFS(Planejado!$R$5:$R$13,Planejado!$B$5:$B$13,"Jurídico")</f>
        <v/>
      </c>
      <c r="C15" s="38">
        <f>SUMIFS(Realizado!$R$5:$R$13,Realizado!$B$5:$B$13,"Jurídico")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SUMIFS(Planejado!$S$5:$S$13,Planejado!$B$5:$B$13,"Jurídico")</f>
        <v/>
      </c>
      <c r="C16" s="56">
        <f>SUMIFS(Realizado!$S$5:$S$13,Realizado!$B$5:$B$13,"Jurídico")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SUMIFS(Comparativo!$I$6:$I$14,Comparativo!$E$6:$E$14,$A5,Comparativo!$B$6:$B$14,"Jurídico")</f>
        <v/>
      </c>
      <c r="C5" s="38">
        <f>SUMIFS(Comparativo!$J$6:$J$14,Comparativo!$E$6:$E$14,$A5,Comparativo!$B$6:$B$14,"Jurídico")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SUMIFS(Planejado!$T$5:$T$13,Planejado!$G$5:$G$13,$A5)</f>
        <v/>
      </c>
    </row>
    <row r="6" ht="20" customHeight="1">
      <c r="A6" s="59" t="inlineStr">
        <is>
          <t>Pessoal - PJ</t>
        </is>
      </c>
      <c r="B6" s="56">
        <f>SUMIFS(Comparativo!$I$6:$I$14,Comparativo!$E$6:$E$14,$A6,Comparativo!$B$6:$B$14,"Jurídico")</f>
        <v/>
      </c>
      <c r="C6" s="56">
        <f>SUMIFS(Comparativo!$J$6:$J$14,Comparativo!$E$6:$E$14,$A6,Comparativo!$B$6:$B$14,"Jurídico")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SUMIFS(Planejado!$T$5:$T$13,Planejado!$G$5:$G$13,$A6)</f>
        <v/>
      </c>
    </row>
    <row r="7" ht="20" customHeight="1">
      <c r="A7" s="57" t="inlineStr">
        <is>
          <t>Licenças de Softwares</t>
        </is>
      </c>
      <c r="B7" s="38">
        <f>SUMIFS(Comparativo!$I$6:$I$14,Comparativo!$E$6:$E$14,$A7,Comparativo!$B$6:$B$14,"Jurídico")</f>
        <v/>
      </c>
      <c r="C7" s="38">
        <f>SUMIFS(Comparativo!$J$6:$J$14,Comparativo!$E$6:$E$14,$A7,Comparativo!$B$6:$B$14,"Jurídico")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SUMIFS(Planejado!$T$5:$T$13,Planejado!$G$5:$G$13,$A7)</f>
        <v/>
      </c>
    </row>
    <row r="8" ht="20" customHeight="1">
      <c r="A8" s="59" t="inlineStr">
        <is>
          <t>Custeio de Treinamento</t>
        </is>
      </c>
      <c r="B8" s="56">
        <f>SUMIFS(Comparativo!$I$6:$I$14,Comparativo!$E$6:$E$14,$A8,Comparativo!$B$6:$B$14,"Jurídico")</f>
        <v/>
      </c>
      <c r="C8" s="56">
        <f>SUMIFS(Comparativo!$J$6:$J$14,Comparativo!$E$6:$E$14,$A8,Comparativo!$B$6:$B$14,"Jurídico")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SUMIFS(Planejado!$T$5:$T$13,Planejado!$G$5:$G$13,$A8)</f>
        <v/>
      </c>
    </row>
    <row r="9" ht="20" customHeight="1">
      <c r="A9" s="57" t="inlineStr">
        <is>
          <t>Prêmios</t>
        </is>
      </c>
      <c r="B9" s="38">
        <f>SUMIFS(Comparativo!$I$6:$I$14,Comparativo!$E$6:$E$14,$A9,Comparativo!$B$6:$B$14,"Jurídico")</f>
        <v/>
      </c>
      <c r="C9" s="38">
        <f>SUMIFS(Comparativo!$J$6:$J$14,Comparativo!$E$6:$E$14,$A9,Comparativo!$B$6:$B$14,"Jurídico")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SUMIFS(Planejado!$T$5:$T$13,Planejado!$G$5:$G$13,$A9)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CONFERIR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Se algum contrato tinha valor diferente no 1º quadrimestre, ou se houve bonificação nesse período, o planejado de jan a abr precisa ser corrigido antes de comparar com o realizado.</t>
        </is>
      </c>
      <c r="E9" s="63" t="inlineStr">
        <is>
          <t>Cristiane</t>
        </is>
      </c>
      <c r="F9" s="69" t="inlineStr">
        <is>
          <t>CONFERIR</t>
        </is>
      </c>
    </row>
    <row r="10" ht="58" customHeight="1">
      <c r="A10" s="65" t="inlineStr">
        <is>
          <t>I</t>
        </is>
      </c>
      <c r="B10" s="66" t="inlineStr">
        <is>
          <t>Realizado de jan a abr — A LANÇAR</t>
        </is>
      </c>
      <c r="C10" s="66" t="inlineStr">
        <is>
          <t>As colunas de jan a abr estão em branco na aba Realizado. Só mai, jun e jul foram informados.</t>
        </is>
      </c>
      <c r="D10" s="66" t="inlineStr">
        <is>
          <t>São 4 dos 7 meses já fechados do ano. Sem eles o acumulado e o Painel refletem menos da metade do período decorrido.</t>
        </is>
      </c>
      <c r="E10" s="66" t="inlineStr">
        <is>
          <t>Cristiane</t>
        </is>
      </c>
      <c r="F10" s="64" t="inlineStr">
        <is>
          <t>A LANÇAR</t>
        </is>
      </c>
    </row>
    <row r="11" ht="58" customHeight="1">
      <c r="A11" s="62" t="inlineStr">
        <is>
          <t>2</t>
        </is>
      </c>
      <c r="B11" s="63" t="inlineStr">
        <is>
          <t>Origem do valor realizado</t>
        </is>
      </c>
      <c r="C11" s="63" t="inlineStr">
        <is>
          <t>Ainda não definido se o realizado virá de lançamento manual, de relatório do financeiro/ERP por centro de custo, ou misto. Até aqui os números vieram informados pela gestora.</t>
        </is>
      </c>
      <c r="D11" s="63" t="inlineStr">
        <is>
          <t>Sem fonte definida o realizado pode divergir da contabilidade e o comparativo perde valor na apresentação à diretoria.</t>
        </is>
      </c>
      <c r="E11" s="63" t="inlineStr">
        <is>
          <t>Cristiane + Financeiro</t>
        </is>
      </c>
      <c r="F11" s="68" t="inlineStr">
        <is>
          <t>EM ABERTO</t>
        </is>
      </c>
    </row>
    <row r="12" ht="58" customHeight="1">
      <c r="A12" s="65" t="inlineStr">
        <is>
          <t>3</t>
        </is>
      </c>
      <c r="B12" s="66" t="inlineStr">
        <is>
          <t>Jusfy x Astrea</t>
        </is>
      </c>
      <c r="C12" s="66" t="inlineStr">
        <is>
          <t>O Astrea NÃO foi cancelado: custa R$ 346,00/mês e segue ativo. O Jusfy está em R$ 0 — ainda não iniciado. A informação anterior de que o Astrea estava zerado foi corrigida pela gestora.</t>
        </is>
      </c>
      <c r="D12" s="66" t="inlineStr">
        <is>
          <t>O Astrea sozinho consome R$ 4.152/ano. Se o Jusfy entrar e o objetivo era substituí-lo, essa é a economia em jogo — e ela é maior do que parecia, porque o custo real do Astrea é 3x o que estava orçado.</t>
        </is>
      </c>
      <c r="E12" s="66" t="inlineStr">
        <is>
          <t>Cristiane</t>
        </is>
      </c>
      <c r="F12" s="68" t="inlineStr">
        <is>
          <t>EM ABERTO</t>
        </is>
      </c>
    </row>
    <row r="13" ht="58" customHeight="1">
      <c r="A13" s="62" t="inlineStr">
        <is>
          <t>K</t>
        </is>
      </c>
      <c r="B13" s="63" t="inlineStr">
        <is>
          <t>ORÇAMENTO VEIO ERRADO — Astrea e Jusbrasil</t>
        </is>
      </c>
      <c r="C13" s="63" t="inlineStr">
        <is>
          <t>Os dois valores já chegaram errados na ficha de orçamento que a gestora recebeu. Astrea: orçado R$ 112,07/mês, custo real R$ 346,00 (3,1x). Jusbrasil: orçado R$ 104,90/mês, custo real R$ 136,00 (1,3x). PAUTA PARA A REUNIÃO COM A DIRETORIA.</t>
        </is>
      </c>
      <c r="D13" s="63" t="inlineStr">
        <is>
          <t>O planejado dessas duas linhas foi mantido como está na ficha, para o erro ficar visível no comparativo. Subdimensionamento de R$ 3.180,36 no ano (R$ 2.807,16 do Astrea + R$ 373,20 do Jusbrasil). Não é estouro de gestão: é erro na origem do orçamento, e precisa de correção formal.</t>
        </is>
      </c>
      <c r="E13" s="63" t="inlineStr">
        <is>
          <t>Cristiane + Diretoria</t>
        </is>
      </c>
      <c r="F13" s="70" t="inlineStr">
        <is>
          <t>PAUTA REUNIÃO</t>
        </is>
      </c>
    </row>
    <row r="14" ht="58" customHeight="1">
      <c r="A14" s="65" t="inlineStr">
        <is>
          <t>7</t>
        </is>
      </c>
      <c r="B14" s="66" t="inlineStr">
        <is>
          <t>Competência x caixa — DEFASAGEM CONFIRMADA</t>
        </is>
      </c>
      <c r="C14" s="66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4" s="66" t="inlineStr">
        <is>
          <t>Consequência: o valor lançado em jan/26 pode ser referente a dez/2025, e o serviço de dez/26 só aparecerá em jan/2027 — o ano fecha com 12 pagamentos, mas defasados em relação ao orçamento, que é de competência. Vale conferir quais contratos pagam no mês seguinte e decidir se o comparativo passa para competência.</t>
        </is>
      </c>
      <c r="E14" s="66" t="inlineStr">
        <is>
          <t>Cristiane + Financeiro</t>
        </is>
      </c>
      <c r="F14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71" t="inlineStr">
        <is>
          <t>2</t>
        </is>
      </c>
      <c r="B6" s="72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2026-08-06T12:37:09Z</dcterms:created>
  <dcterms:modified xsi:type="dcterms:W3CDTF">2026-08-06T12:37:09Z</dcterms:modified>
</cp:coreProperties>
</file>