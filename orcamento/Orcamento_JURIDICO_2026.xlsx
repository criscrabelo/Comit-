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27">
      <c r="A27" s="43" t="inlineStr">
        <is>
          <t>TOTAL GERAL</t>
        </is>
      </c>
      <c r="B27" s="43" t="n"/>
      <c r="C27" s="43" t="n"/>
      <c r="D27" s="43" t="n"/>
      <c r="E27" s="43" t="n"/>
      <c r="F27" s="44">
        <f>SUM(F6:F14)</f>
        <v/>
      </c>
      <c r="G27" s="44">
        <f>SUM(G6:G14)</f>
        <v/>
      </c>
      <c r="H27" s="44">
        <f>SUM(H6:H14)</f>
        <v/>
      </c>
      <c r="I27" s="44">
        <f>SUM(I6:I14)</f>
        <v/>
      </c>
      <c r="J27" s="44">
        <f>SUM(J6:J14)</f>
        <v/>
      </c>
      <c r="K27" s="44">
        <f>SUM(K6:K14)</f>
        <v/>
      </c>
      <c r="L27" s="45">
        <f>IFERROR(K27/I27,"")</f>
        <v/>
      </c>
      <c r="M27" s="45">
        <f>IFERROR(J27/I27,"")</f>
        <v/>
      </c>
      <c r="N27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/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Cancelado — realizado zerado desde mai/26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Acima do orçado (R$ 104,90) — conferir contrato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0</v>
      </c>
      <c r="I10" s="50" t="n">
        <v>0</v>
      </c>
      <c r="J10" s="50" t="n">
        <v>0</v>
      </c>
      <c r="K10" s="50" t="n">
        <v>0</v>
      </c>
      <c r="L10" s="50" t="n">
        <v>0</v>
      </c>
      <c r="M10" s="50" t="n">
        <v>0</v>
      </c>
      <c r="N10" s="50" t="n">
        <v>0</v>
      </c>
      <c r="O10" s="50" t="n"/>
      <c r="T10" s="46">
        <f>SUM(H10:S10)</f>
        <v/>
      </c>
      <c r="U10" s="51" t="inlineStr">
        <is>
          <t>Gestora, 05/08/26</t>
        </is>
      </c>
      <c r="V10" s="51" t="inlineStr">
        <is>
          <t>Cancelado — sem cobrança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CONFERIR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Se algum contrato tinha valor diferente no 1º quadrimestre, ou se houve bonificação nesse período, o planejado de jan a abr precisa ser corrigido antes de comparar com o realizado.</t>
        </is>
      </c>
      <c r="E9" s="63" t="inlineStr">
        <is>
          <t>Cristiane</t>
        </is>
      </c>
      <c r="F9" s="69" t="inlineStr">
        <is>
          <t>CONFERIR</t>
        </is>
      </c>
    </row>
    <row r="10" ht="58" customHeight="1">
      <c r="A10" s="65" t="inlineStr">
        <is>
          <t>I</t>
        </is>
      </c>
      <c r="B10" s="66" t="inlineStr">
        <is>
          <t>Realizado de jan a abr — A LANÇAR</t>
        </is>
      </c>
      <c r="C10" s="66" t="inlineStr">
        <is>
          <t>As colunas de jan a abr estão em branco na aba Realizado. Só mai, jun e jul foram informados.</t>
        </is>
      </c>
      <c r="D10" s="66" t="inlineStr">
        <is>
          <t>São 4 dos 7 meses já fechados do ano. Sem eles o acumulado e o Painel refletem menos da metade do período decorrido.</t>
        </is>
      </c>
      <c r="E10" s="66" t="inlineStr">
        <is>
          <t>Cristiane</t>
        </is>
      </c>
      <c r="F10" s="64" t="inlineStr">
        <is>
          <t>A LANÇAR</t>
        </is>
      </c>
    </row>
    <row r="11" ht="58" customHeight="1">
      <c r="A11" s="62" t="inlineStr">
        <is>
          <t>2</t>
        </is>
      </c>
      <c r="B11" s="63" t="inlineStr">
        <is>
          <t>Origem do valor realizado</t>
        </is>
      </c>
      <c r="C11" s="63" t="inlineStr">
        <is>
          <t>Ainda não definido se o realizado virá de lançamento manual, de relatório do financeiro/ERP por centro de custo, ou misto. Até aqui os números vieram informados pela gestora.</t>
        </is>
      </c>
      <c r="D11" s="63" t="inlineStr">
        <is>
          <t>Sem fonte definida o realizado pode divergir da contabilidade e o comparativo perde valor na apresentação à diretoria.</t>
        </is>
      </c>
      <c r="E11" s="63" t="inlineStr">
        <is>
          <t>Cristiane + Financeiro</t>
        </is>
      </c>
      <c r="F11" s="68" t="inlineStr">
        <is>
          <t>EM ABERTO</t>
        </is>
      </c>
    </row>
    <row r="12" ht="58" customHeight="1">
      <c r="A12" s="65" t="inlineStr">
        <is>
          <t>3</t>
        </is>
      </c>
      <c r="B12" s="66" t="inlineStr">
        <is>
          <t>Jusfy x Astrea</t>
        </is>
      </c>
      <c r="C12" s="66" t="inlineStr">
        <is>
          <t>O risco era pagar os dois em paralelo. O realizado de mai–jul mostra Astrea em R$ 0 (cancelado) e Jusfy em R$ 0 (ainda não iniciado) — no momento não há custo de nenhum dos dois.</t>
        </is>
      </c>
      <c r="D12" s="66" t="inlineStr">
        <is>
          <t>Economia de R$ 212,07/mês enquanto durar. Falta decidir se o Jusfy entra e quando, para ajustar o planejado dos meses seguintes.</t>
        </is>
      </c>
      <c r="E12" s="66" t="inlineStr">
        <is>
          <t>Cristiane</t>
        </is>
      </c>
      <c r="F12" s="67" t="inlineStr">
        <is>
          <t>RESOLVIDO</t>
        </is>
      </c>
    </row>
    <row r="13" ht="58" customHeight="1">
      <c r="A13" s="62" t="inlineStr">
        <is>
          <t>7</t>
        </is>
      </c>
      <c r="B13" s="63" t="inlineStr">
        <is>
          <t>Competência x caixa — DEFASAGEM CONFIRMADA</t>
        </is>
      </c>
      <c r="C13" s="63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3" s="63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3" s="63" t="inlineStr">
        <is>
          <t>Cristiane + Financeiro</t>
        </is>
      </c>
      <c r="F13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0" t="inlineStr">
        <is>
          <t>2</t>
        </is>
      </c>
      <c r="B6" s="71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2026-08-06T12:15:16Z</dcterms:created>
  <dcterms:modified xsi:type="dcterms:W3CDTF">2026-08-06T12:15:16Z</dcterms:modified>
</cp:coreProperties>
</file>