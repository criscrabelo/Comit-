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2">
      <c r="A32" s="43" t="inlineStr">
        <is>
          <t>TOTAL GERAL</t>
        </is>
      </c>
      <c r="B32" s="43" t="n"/>
      <c r="C32" s="43" t="n"/>
      <c r="D32" s="43" t="n"/>
      <c r="E32" s="43" t="n"/>
      <c r="F32" s="44">
        <f>SUM(F6:F15)</f>
        <v/>
      </c>
      <c r="G32" s="44">
        <f>SUM(G6:G15)</f>
        <v/>
      </c>
      <c r="H32" s="44">
        <f>SUM(H6:H15)</f>
        <v/>
      </c>
      <c r="I32" s="44">
        <f>SUM(I6:I15)</f>
        <v/>
      </c>
      <c r="J32" s="44">
        <f>SUM(J6:J15)</f>
        <v/>
      </c>
      <c r="K32" s="44">
        <f>SUM(K6:K15)</f>
        <v/>
      </c>
      <c r="L32" s="45">
        <f>IFERROR(K32/I32,"")</f>
        <v/>
      </c>
      <c r="M32" s="45">
        <f>IFERROR(J32/I32,"")</f>
        <v/>
      </c>
      <c r="N32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P</t>
        </is>
      </c>
      <c r="B16" s="66" t="inlineStr">
        <is>
          <t>Extrato contém REPASSES, não só custo</t>
        </is>
      </c>
      <c r="C16" s="66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6" s="66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6" s="66" t="inlineStr">
        <is>
          <t>Cristiane + Financeiro</t>
        </is>
      </c>
      <c r="F16" s="70" t="inlineStr">
        <is>
          <t>CONFERIR</t>
        </is>
      </c>
    </row>
    <row r="17" ht="58" customHeight="1">
      <c r="A17" s="62" t="inlineStr">
        <is>
          <t>K</t>
        </is>
      </c>
      <c r="B17" s="63" t="inlineStr">
        <is>
          <t>ORÇAMENTO VEIO ERRADO — Astrea e Jusbrasil</t>
        </is>
      </c>
      <c r="C17" s="63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7" s="63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7" s="63" t="inlineStr">
        <is>
          <t>Cristiane + Diretoria</t>
        </is>
      </c>
      <c r="F17" s="69" t="inlineStr">
        <is>
          <t>PAUTA REUNIÃO</t>
        </is>
      </c>
    </row>
    <row r="18" ht="58" customHeight="1">
      <c r="A18" s="65" t="inlineStr">
        <is>
          <t>7</t>
        </is>
      </c>
      <c r="B18" s="66" t="inlineStr">
        <is>
          <t>Competência x caixa — DECIDIR O REGIME</t>
        </is>
      </c>
      <c r="C18" s="66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8" s="66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8" s="66" t="inlineStr">
        <is>
          <t>Cristiane + Financeiro</t>
        </is>
      </c>
      <c r="F18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1" t="inlineStr">
        <is>
          <t>Desvio positivo (vermelho)</t>
        </is>
      </c>
      <c r="B12" s="72" t="inlineStr">
        <is>
          <t>Gastou ACIMA do orçado.</t>
        </is>
      </c>
    </row>
    <row r="13" ht="34" customHeight="1">
      <c r="A13" s="71" t="inlineStr">
        <is>
          <t>Desvio negativo (verde)</t>
        </is>
      </c>
      <c r="B13" s="72" t="inlineStr">
        <is>
          <t>Gastou ABAIXO do orçado — economia ou despesa ainda não realizada.</t>
        </is>
      </c>
    </row>
    <row r="14" ht="34" customHeight="1">
      <c r="A14" s="71" t="inlineStr">
        <is>
          <t>Planejado acum.</t>
        </is>
      </c>
      <c r="B14" s="72" t="inlineStr">
        <is>
          <t>Soma de maio até o mês selecionado.</t>
        </is>
      </c>
    </row>
    <row r="15" ht="34" customHeight="1">
      <c r="A15" s="71" t="inlineStr">
        <is>
          <t>% Executado</t>
        </is>
      </c>
      <c r="B15" s="72" t="inlineStr">
        <is>
          <t>Realizado acumulado ÷ Planejado acumulado. Perto de 100% = no ritmo.</t>
        </is>
      </c>
    </row>
    <row r="16" ht="34" customHeight="1">
      <c r="A16" s="71" t="inlineStr">
        <is>
          <t>Sem lançamento</t>
        </is>
      </c>
      <c r="B16" s="72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1" t="inlineStr">
        <is>
          <t>Não altere</t>
        </is>
      </c>
      <c r="B19" s="72" t="inlineStr">
        <is>
          <t>As colunas de identificação da aba Realizado (A a G) são fórmulas que espelham a aba Planejado. Alterar quebra o comparativo.</t>
        </is>
      </c>
    </row>
    <row r="20" ht="34" customHeight="1">
      <c r="A20" s="71" t="inlineStr">
        <is>
          <t>Nova linha de orçamento</t>
        </is>
      </c>
      <c r="B20" s="72" t="inlineStr">
        <is>
          <t>Insira na aba Planejado e replique a mesma linha na aba Realizado e na aba Comparativo, mantendo o mesmo ID.</t>
        </is>
      </c>
    </row>
    <row r="21" ht="34" customHeight="1">
      <c r="A21" s="71" t="inlineStr">
        <is>
          <t>Revisão de orçamento</t>
        </is>
      </c>
      <c r="B21" s="72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2026-08-06T16:26:58Z</dcterms:created>
  <dcterms:modified xsi:type="dcterms:W3CDTF">2026-08-06T16:26:58Z</dcterms:modified>
</cp:coreProperties>
</file>