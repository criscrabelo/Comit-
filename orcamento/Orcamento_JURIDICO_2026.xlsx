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SUMIFS(Planejado!$T$5:$T$13,Planejado!$B$5:$B$13,"Jurídico",Planejado!$C$5:$C$13,"Equipe")</f>
        <v/>
      </c>
      <c r="D6" s="8">
        <f>SUMIFS(Comparativo!$I$6:$I$14,Comparativo!$B$6:$B$14,"Jurídico",Comparativo!$C$6:$C$14,"Equipe")</f>
        <v/>
      </c>
      <c r="E6" s="8">
        <f>SUMIFS(Comparativo!$J$6:$J$14,Comparativo!$B$6:$B$14,"Jurídico",Comparativo!$C$6:$C$14,"Equipe")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SUMIFS(Planejado!$T$5:$T$13,Planejado!$B$5:$B$13,"Jurídico",Planejado!$C$5:$C$13,"Despesas")</f>
        <v/>
      </c>
      <c r="D7" s="8">
        <f>SUMIFS(Comparativo!$I$6:$I$14,Comparativo!$B$6:$B$14,"Jurídico",Comparativo!$C$6:$C$14,"Despesas")</f>
        <v/>
      </c>
      <c r="E7" s="8">
        <f>SUMIFS(Comparativo!$J$6:$J$14,Comparativo!$B$6:$B$14,"Jurídico",Comparativo!$C$6:$C$14,"Despesas")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SUMIFS(Planejado!$T$5:$T$13,Planejado!$B$5:$B$13,"Jurídico")</f>
        <v/>
      </c>
      <c r="D8" s="12">
        <f>SUMIFS(Comparativo!$I$6:$I$14,Comparativo!$B$6:$B$14,"Jurídico")</f>
        <v/>
      </c>
      <c r="E8" s="12">
        <f>SUMIFS(Comparativo!$J$6:$J$14,Comparativo!$B$6:$B$14,"Jurídico")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COUNTIFS(Comparativo!$P$6:$P$14,"&gt;0",Comparativo!$B$6:$B$14,"Jurídico")&amp;" de "&amp;COUNTIFS(Comparativo!$A$6:$A$14,"?*",Comparativo!$B$6:$B$14,"Jurídico")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IFERROR(INDEX(Comparativo!$D$6:$D$14,MATCH(LARGE(Comparativo!$O$6:$O$14,A13),Comparativo!$O$6:$O$14,0)),"")</f>
        <v/>
      </c>
      <c r="C13" s="17">
        <f>IFERROR(INDEX(Comparativo!$B$6:$B$14,MATCH(LARGE(Comparativo!$O$6:$O$14,A13),Comparativo!$O$6:$O$14,0)),"")</f>
        <v/>
      </c>
      <c r="D13" s="18">
        <f>IFERROR(INDEX(Comparativo!$I$6:$I$14,MATCH(LARGE(Comparativo!$O$6:$O$14,A13),Comparativo!$O$6:$O$14,0)),"")</f>
        <v/>
      </c>
      <c r="E13" s="18">
        <f>IFERROR(INDEX(Comparativo!$J$6:$J$14,MATCH(LARGE(Comparativo!$O$6:$O$14,A13),Comparativo!$O$6:$O$14,0)),"")</f>
        <v/>
      </c>
      <c r="F13" s="18">
        <f>IFERROR(INDEX(Comparativo!$K$6:$K$14,MATCH(LARGE(Comparativo!$O$6:$O$14,A13),Comparativo!$O$6:$O$14,0)),"")</f>
        <v/>
      </c>
      <c r="G13" s="19">
        <f>IFERROR(F13/D13,"")</f>
        <v/>
      </c>
    </row>
    <row r="14">
      <c r="A14" s="16" t="n">
        <v>2</v>
      </c>
      <c r="B14" s="17">
        <f>IFERROR(INDEX(Comparativo!$D$6:$D$14,MATCH(LARGE(Comparativo!$O$6:$O$14,A14),Comparativo!$O$6:$O$14,0)),"")</f>
        <v/>
      </c>
      <c r="C14" s="17">
        <f>IFERROR(INDEX(Comparativo!$B$6:$B$14,MATCH(LARGE(Comparativo!$O$6:$O$14,A14),Comparativo!$O$6:$O$14,0)),"")</f>
        <v/>
      </c>
      <c r="D14" s="18">
        <f>IFERROR(INDEX(Comparativo!$I$6:$I$14,MATCH(LARGE(Comparativo!$O$6:$O$14,A14),Comparativo!$O$6:$O$14,0)),"")</f>
        <v/>
      </c>
      <c r="E14" s="18">
        <f>IFERROR(INDEX(Comparativo!$J$6:$J$14,MATCH(LARGE(Comparativo!$O$6:$O$14,A14),Comparativo!$O$6:$O$14,0)),"")</f>
        <v/>
      </c>
      <c r="F14" s="18">
        <f>IFERROR(INDEX(Comparativo!$K$6:$K$14,MATCH(LARGE(Comparativo!$O$6:$O$14,A14),Comparativo!$O$6:$O$14,0)),"")</f>
        <v/>
      </c>
      <c r="G14" s="19">
        <f>IFERROR(F14/D14,"")</f>
        <v/>
      </c>
    </row>
    <row r="15">
      <c r="A15" s="16" t="n">
        <v>3</v>
      </c>
      <c r="B15" s="17">
        <f>IFERROR(INDEX(Comparativo!$D$6:$D$14,MATCH(LARGE(Comparativo!$O$6:$O$14,A15),Comparativo!$O$6:$O$14,0)),"")</f>
        <v/>
      </c>
      <c r="C15" s="17">
        <f>IFERROR(INDEX(Comparativo!$B$6:$B$14,MATCH(LARGE(Comparativo!$O$6:$O$14,A15),Comparativo!$O$6:$O$14,0)),"")</f>
        <v/>
      </c>
      <c r="D15" s="18">
        <f>IFERROR(INDEX(Comparativo!$I$6:$I$14,MATCH(LARGE(Comparativo!$O$6:$O$14,A15),Comparativo!$O$6:$O$14,0)),"")</f>
        <v/>
      </c>
      <c r="E15" s="18">
        <f>IFERROR(INDEX(Comparativo!$J$6:$J$14,MATCH(LARGE(Comparativo!$O$6:$O$14,A15),Comparativo!$O$6:$O$14,0)),"")</f>
        <v/>
      </c>
      <c r="F15" s="18">
        <f>IFERROR(INDEX(Comparativo!$K$6:$K$14,MATCH(LARGE(Comparativo!$O$6:$O$14,A15),Comparativo!$O$6:$O$14,0)),"")</f>
        <v/>
      </c>
      <c r="G15" s="19">
        <f>IFERROR(F15/D15,"")</f>
        <v/>
      </c>
    </row>
    <row r="16">
      <c r="A16" s="16" t="n">
        <v>4</v>
      </c>
      <c r="B16" s="17">
        <f>IFERROR(INDEX(Comparativo!$D$6:$D$14,MATCH(LARGE(Comparativo!$O$6:$O$14,A16),Comparativo!$O$6:$O$14,0)),"")</f>
        <v/>
      </c>
      <c r="C16" s="17">
        <f>IFERROR(INDEX(Comparativo!$B$6:$B$14,MATCH(LARGE(Comparativo!$O$6:$O$14,A16),Comparativo!$O$6:$O$14,0)),"")</f>
        <v/>
      </c>
      <c r="D16" s="18">
        <f>IFERROR(INDEX(Comparativo!$I$6:$I$14,MATCH(LARGE(Comparativo!$O$6:$O$14,A16),Comparativo!$O$6:$O$14,0)),"")</f>
        <v/>
      </c>
      <c r="E16" s="18">
        <f>IFERROR(INDEX(Comparativo!$J$6:$J$14,MATCH(LARGE(Comparativo!$O$6:$O$14,A16),Comparativo!$O$6:$O$14,0)),"")</f>
        <v/>
      </c>
      <c r="F16" s="18">
        <f>IFERROR(INDEX(Comparativo!$K$6:$K$14,MATCH(LARGE(Comparativo!$O$6:$O$14,A16),Comparativo!$O$6:$O$14,0)),"")</f>
        <v/>
      </c>
      <c r="G16" s="19">
        <f>IFERROR(F16/D16,"")</f>
        <v/>
      </c>
    </row>
    <row r="17">
      <c r="A17" s="16" t="n">
        <v>5</v>
      </c>
      <c r="B17" s="17">
        <f>IFERROR(INDEX(Comparativo!$D$6:$D$14,MATCH(LARGE(Comparativo!$O$6:$O$14,A17),Comparativo!$O$6:$O$14,0)),"")</f>
        <v/>
      </c>
      <c r="C17" s="17">
        <f>IFERROR(INDEX(Comparativo!$B$6:$B$14,MATCH(LARGE(Comparativo!$O$6:$O$14,A17),Comparativo!$O$6:$O$14,0)),"")</f>
        <v/>
      </c>
      <c r="D17" s="18">
        <f>IFERROR(INDEX(Comparativo!$I$6:$I$14,MATCH(LARGE(Comparativo!$O$6:$O$14,A17),Comparativo!$O$6:$O$14,0)),"")</f>
        <v/>
      </c>
      <c r="E17" s="18">
        <f>IFERROR(INDEX(Comparativo!$J$6:$J$14,MATCH(LARGE(Comparativo!$O$6:$O$14,A17),Comparativo!$O$6:$O$14,0)),"")</f>
        <v/>
      </c>
      <c r="F17" s="18">
        <f>IFERROR(INDEX(Comparativo!$K$6:$K$14,MATCH(LARGE(Comparativo!$O$6:$O$14,A17),Comparativo!$O$6:$O$14,0)),"")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SUM(F6:F14)</f>
        <v/>
      </c>
      <c r="G27" s="31">
        <f>SUM(G6:G14)</f>
        <v/>
      </c>
      <c r="H27" s="31">
        <f>SUM(H6:H14)</f>
        <v/>
      </c>
      <c r="I27" s="31">
        <f>SUM(I6:I14)</f>
        <v/>
      </c>
      <c r="J27" s="31">
        <f>SUM(J6:J14)</f>
        <v/>
      </c>
      <c r="K27" s="31">
        <f>SUM(K6:K14)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JUR-E01</t>
        </is>
      </c>
      <c r="B5" s="24" t="inlineStr">
        <is>
          <t>Jurídico</t>
        </is>
      </c>
      <c r="C5" s="24" t="inlineStr">
        <is>
          <t>Equipe</t>
        </is>
      </c>
      <c r="D5" s="25" t="inlineStr">
        <is>
          <t>Miguel Clepf</t>
        </is>
      </c>
      <c r="E5" s="25" t="inlineStr">
        <is>
          <t>Advogado Júnior</t>
        </is>
      </c>
      <c r="F5" s="24" t="inlineStr">
        <is>
          <t>PJ</t>
        </is>
      </c>
      <c r="G5" s="24" t="inlineStr">
        <is>
          <t>Pessoal - PJ</t>
        </is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>
        <v>10000</v>
      </c>
      <c r="M5" s="26" t="n">
        <v>10000</v>
      </c>
      <c r="N5" s="26" t="n">
        <v>10000</v>
      </c>
      <c r="O5" s="26" t="n">
        <v>10000</v>
      </c>
      <c r="P5" s="26" t="n">
        <v>10000</v>
      </c>
      <c r="Q5" s="26" t="n">
        <v>10000</v>
      </c>
      <c r="R5" s="26" t="n">
        <v>10000</v>
      </c>
      <c r="S5" s="26" t="n">
        <v>10000</v>
      </c>
      <c r="T5" s="33">
        <f>SUM(H5:S5)</f>
        <v/>
      </c>
    </row>
    <row r="6" ht="26" customHeight="1">
      <c r="A6" s="24" t="inlineStr">
        <is>
          <t>JUR-E02</t>
        </is>
      </c>
      <c r="B6" s="24" t="inlineStr">
        <is>
          <t>Jurídico</t>
        </is>
      </c>
      <c r="C6" s="24" t="inlineStr">
        <is>
          <t>Equipe</t>
        </is>
      </c>
      <c r="D6" s="25" t="inlineStr">
        <is>
          <t>Geovanna</t>
        </is>
      </c>
      <c r="E6" s="25" t="inlineStr">
        <is>
          <t>Analista Administrativo — orçada pelo custo total (encargos de folha + benefícios). Salário bruto informado: R$ 2.886,91/mês</t>
        </is>
      </c>
      <c r="F6" s="24" t="inlineStr">
        <is>
          <t>CLT</t>
        </is>
      </c>
      <c r="G6" s="24" t="inlineStr">
        <is>
          <t>Pessoal - CLT</t>
        </is>
      </c>
      <c r="H6" s="26" t="n">
        <v>4825.515</v>
      </c>
      <c r="I6" s="26" t="n">
        <v>4825.515</v>
      </c>
      <c r="J6" s="26" t="n">
        <v>4825.515</v>
      </c>
      <c r="K6" s="26" t="n">
        <v>4825.515</v>
      </c>
      <c r="L6" s="26" t="n">
        <v>4825.515</v>
      </c>
      <c r="M6" s="26" t="n">
        <v>4825.515</v>
      </c>
      <c r="N6" s="26" t="n">
        <v>4825.515</v>
      </c>
      <c r="O6" s="26" t="n">
        <v>4825.515</v>
      </c>
      <c r="P6" s="26" t="n">
        <v>4825.515</v>
      </c>
      <c r="Q6" s="26" t="n">
        <v>4825.515</v>
      </c>
      <c r="R6" s="26" t="n">
        <v>4825.515</v>
      </c>
      <c r="S6" s="26" t="n">
        <v>4825.515</v>
      </c>
      <c r="T6" s="33">
        <f>SUM(H6:S6)</f>
        <v/>
      </c>
    </row>
    <row r="7" ht="26" customHeight="1">
      <c r="A7" s="24" t="inlineStr">
        <is>
          <t>JUR-E03</t>
        </is>
      </c>
      <c r="B7" s="24" t="inlineStr">
        <is>
          <t>Jurídico</t>
        </is>
      </c>
      <c r="C7" s="24" t="inlineStr">
        <is>
          <t>Equipe</t>
        </is>
      </c>
      <c r="D7" s="25" t="inlineStr">
        <is>
          <t>Thamar Victória</t>
        </is>
      </c>
      <c r="E7" s="25" t="inlineStr">
        <is>
          <t>Advogada — recebia R$ 4.500/mês em jan–mar e passou a R$ 5.500 em abr/26 (aumento de R$ 1.000), contra R$ 5.000 orçados. Planejado revisado para R$ 5.500 a partir de ago/26</t>
        </is>
      </c>
      <c r="F7" s="24" t="inlineStr">
        <is>
          <t>PJ</t>
        </is>
      </c>
      <c r="G7" s="24" t="inlineStr">
        <is>
          <t>Pessoal - PJ</t>
        </is>
      </c>
      <c r="H7" s="26" t="n">
        <v>5000</v>
      </c>
      <c r="I7" s="26" t="n">
        <v>5000</v>
      </c>
      <c r="J7" s="26" t="n">
        <v>5000</v>
      </c>
      <c r="K7" s="26" t="n">
        <v>5000</v>
      </c>
      <c r="L7" s="26" t="n">
        <v>5000</v>
      </c>
      <c r="M7" s="26" t="n">
        <v>5000</v>
      </c>
      <c r="N7" s="26" t="n">
        <v>5000</v>
      </c>
      <c r="O7" s="26" t="n">
        <v>5500</v>
      </c>
      <c r="P7" s="26" t="n">
        <v>5500</v>
      </c>
      <c r="Q7" s="26" t="n">
        <v>5500</v>
      </c>
      <c r="R7" s="26" t="n">
        <v>5500</v>
      </c>
      <c r="S7" s="26" t="n">
        <v>5500</v>
      </c>
      <c r="T7" s="33">
        <f>SUM(H7:S7)</f>
        <v/>
      </c>
    </row>
    <row r="8" ht="26" customHeight="1">
      <c r="A8" s="24" t="inlineStr">
        <is>
          <t>JUR-D01</t>
        </is>
      </c>
      <c r="B8" s="24" t="inlineStr">
        <is>
          <t>Jurídico</t>
        </is>
      </c>
      <c r="C8" s="24" t="inlineStr">
        <is>
          <t>Despesas</t>
        </is>
      </c>
      <c r="D8" s="25" t="inlineStr">
        <is>
          <t>JUSFY</t>
        </is>
      </c>
      <c r="E8" s="25" t="inlineStr">
        <is>
          <t>Fase de teste com objetivo de eliminar o Astrea</t>
        </is>
      </c>
      <c r="F8" s="24" t="inlineStr"/>
      <c r="G8" s="24" t="inlineStr">
        <is>
          <t>Licenças de Softwares</t>
        </is>
      </c>
      <c r="H8" s="26" t="n">
        <v>100</v>
      </c>
      <c r="I8" s="26" t="n">
        <v>100</v>
      </c>
      <c r="J8" s="26" t="n">
        <v>100</v>
      </c>
      <c r="K8" s="26" t="n">
        <v>100</v>
      </c>
      <c r="L8" s="26" t="n">
        <v>100</v>
      </c>
      <c r="M8" s="26" t="n">
        <v>100</v>
      </c>
      <c r="N8" s="26" t="n">
        <v>100</v>
      </c>
      <c r="O8" s="26" t="n">
        <v>100</v>
      </c>
      <c r="P8" s="26" t="n">
        <v>100</v>
      </c>
      <c r="Q8" s="26" t="n">
        <v>100</v>
      </c>
      <c r="R8" s="26" t="n">
        <v>100</v>
      </c>
      <c r="S8" s="26" t="n">
        <v>100</v>
      </c>
      <c r="T8" s="33">
        <f>SUM(H8:S8)</f>
        <v/>
      </c>
    </row>
    <row r="9" ht="26" customHeight="1">
      <c r="A9" s="24" t="inlineStr">
        <is>
          <t>JUR-D02</t>
        </is>
      </c>
      <c r="B9" s="24" t="inlineStr">
        <is>
          <t>Jurídico</t>
        </is>
      </c>
      <c r="C9" s="24" t="inlineStr">
        <is>
          <t>Despesas</t>
        </is>
      </c>
      <c r="D9" s="25" t="inlineStr">
        <is>
          <t>JUSBRASIL</t>
        </is>
      </c>
      <c r="E9" s="25" t="inlineStr"/>
      <c r="F9" s="24" t="inlineStr"/>
      <c r="G9" s="24" t="inlineStr">
        <is>
          <t>Licenças de Softwares</t>
        </is>
      </c>
      <c r="H9" s="26" t="n">
        <v>104.9</v>
      </c>
      <c r="I9" s="26" t="n">
        <v>104.9</v>
      </c>
      <c r="J9" s="26" t="n">
        <v>104.9</v>
      </c>
      <c r="K9" s="26" t="n">
        <v>104.9</v>
      </c>
      <c r="L9" s="26" t="n">
        <v>104.9</v>
      </c>
      <c r="M9" s="26" t="n">
        <v>104.9</v>
      </c>
      <c r="N9" s="26" t="n">
        <v>104.9</v>
      </c>
      <c r="O9" s="26" t="n">
        <v>104.9</v>
      </c>
      <c r="P9" s="26" t="n">
        <v>104.9</v>
      </c>
      <c r="Q9" s="26" t="n">
        <v>104.9</v>
      </c>
      <c r="R9" s="26" t="n">
        <v>104.9</v>
      </c>
      <c r="S9" s="26" t="n">
        <v>104.9</v>
      </c>
      <c r="T9" s="33">
        <f>SUM(H9:S9)</f>
        <v/>
      </c>
    </row>
    <row r="10" ht="26" customHeight="1">
      <c r="A10" s="24" t="inlineStr">
        <is>
          <t>JUR-D03</t>
        </is>
      </c>
      <c r="B10" s="24" t="inlineStr">
        <is>
          <t>Jurídico</t>
        </is>
      </c>
      <c r="C10" s="24" t="inlineStr">
        <is>
          <t>Despesas</t>
        </is>
      </c>
      <c r="D10" s="25" t="inlineStr">
        <is>
          <t>ASTREA</t>
        </is>
      </c>
      <c r="E10" s="25" t="inlineStr">
        <is>
          <t>Cancelado — realizado zerado desde mai/26</t>
        </is>
      </c>
      <c r="F10" s="24" t="inlineStr"/>
      <c r="G10" s="24" t="inlineStr">
        <is>
          <t>Licenças de Softwares</t>
        </is>
      </c>
      <c r="H10" s="26" t="n">
        <v>112.07</v>
      </c>
      <c r="I10" s="26" t="n">
        <v>112.07</v>
      </c>
      <c r="J10" s="26" t="n">
        <v>112.07</v>
      </c>
      <c r="K10" s="26" t="n">
        <v>112.07</v>
      </c>
      <c r="L10" s="26" t="n">
        <v>112.07</v>
      </c>
      <c r="M10" s="26" t="n">
        <v>112.07</v>
      </c>
      <c r="N10" s="26" t="n">
        <v>112.07</v>
      </c>
      <c r="O10" s="26" t="n">
        <v>112.07</v>
      </c>
      <c r="P10" s="26" t="n">
        <v>112.07</v>
      </c>
      <c r="Q10" s="26" t="n">
        <v>112.07</v>
      </c>
      <c r="R10" s="26" t="n">
        <v>112.07</v>
      </c>
      <c r="S10" s="26" t="n">
        <v>112.07</v>
      </c>
      <c r="T10" s="33">
        <f>SUM(H10:S10)</f>
        <v/>
      </c>
    </row>
    <row r="11" ht="26" customHeight="1">
      <c r="A11" s="24" t="inlineStr">
        <is>
          <t>JUR-D04</t>
        </is>
      </c>
      <c r="B11" s="24" t="inlineStr">
        <is>
          <t>Jurídico</t>
        </is>
      </c>
      <c r="C11" s="24" t="inlineStr">
        <is>
          <t>Despesas</t>
        </is>
      </c>
      <c r="D11" s="25" t="inlineStr">
        <is>
          <t>LEME</t>
        </is>
      </c>
      <c r="E11" s="25" t="inlineStr"/>
      <c r="F11" s="24" t="inlineStr"/>
      <c r="G11" s="24" t="inlineStr">
        <is>
          <t>Licenças de Softwares</t>
        </is>
      </c>
      <c r="H11" s="26" t="n">
        <v>1030</v>
      </c>
      <c r="I11" s="26" t="n">
        <v>1030</v>
      </c>
      <c r="J11" s="26" t="n">
        <v>1030</v>
      </c>
      <c r="K11" s="26" t="n">
        <v>1030</v>
      </c>
      <c r="L11" s="26" t="n">
        <v>1030</v>
      </c>
      <c r="M11" s="26" t="n">
        <v>1030</v>
      </c>
      <c r="N11" s="26" t="n">
        <v>1030</v>
      </c>
      <c r="O11" s="26" t="n">
        <v>1030</v>
      </c>
      <c r="P11" s="26" t="n">
        <v>1030</v>
      </c>
      <c r="Q11" s="26" t="n">
        <v>1030</v>
      </c>
      <c r="R11" s="26" t="n">
        <v>1030</v>
      </c>
      <c r="S11" s="26" t="n">
        <v>1030</v>
      </c>
      <c r="T11" s="33">
        <f>SUM(H11:S11)</f>
        <v/>
      </c>
    </row>
    <row r="12" ht="26" customHeight="1">
      <c r="A12" s="24" t="inlineStr">
        <is>
          <t>JUR-D05</t>
        </is>
      </c>
      <c r="B12" s="24" t="inlineStr">
        <is>
          <t>Jurídico</t>
        </is>
      </c>
      <c r="C12" s="24" t="inlineStr">
        <is>
          <t>Despesas</t>
        </is>
      </c>
      <c r="D12" s="25" t="inlineStr">
        <is>
          <t>Cursos / Eventos / Network</t>
        </is>
      </c>
      <c r="E12" s="25" t="inlineStr"/>
      <c r="F12" s="24" t="inlineStr"/>
      <c r="G12" s="24" t="inlineStr">
        <is>
          <t>Custeio de Treinamento</t>
        </is>
      </c>
      <c r="H12" s="26" t="n">
        <v>1000</v>
      </c>
      <c r="I12" s="26" t="n">
        <v>1000</v>
      </c>
      <c r="J12" s="26" t="n">
        <v>1000</v>
      </c>
      <c r="K12" s="26" t="n">
        <v>1000</v>
      </c>
      <c r="L12" s="26" t="n">
        <v>1000</v>
      </c>
      <c r="M12" s="26" t="n">
        <v>1000</v>
      </c>
      <c r="N12" s="26" t="n">
        <v>1000</v>
      </c>
      <c r="O12" s="26" t="n">
        <v>1000</v>
      </c>
      <c r="P12" s="26" t="n">
        <v>1000</v>
      </c>
      <c r="Q12" s="26" t="n">
        <v>1000</v>
      </c>
      <c r="R12" s="26" t="n">
        <v>1000</v>
      </c>
      <c r="S12" s="26" t="n">
        <v>1000</v>
      </c>
      <c r="T12" s="33">
        <f>SUM(H12:S12)</f>
        <v/>
      </c>
    </row>
    <row r="13" ht="26" customHeight="1">
      <c r="A13" s="24" t="inlineStr">
        <is>
          <t>JUR-D06</t>
        </is>
      </c>
      <c r="B13" s="24" t="inlineStr">
        <is>
          <t>Jurídico</t>
        </is>
      </c>
      <c r="C13" s="24" t="inlineStr">
        <is>
          <t>Despesas</t>
        </is>
      </c>
      <c r="D13" s="25" t="inlineStr">
        <is>
          <t>Bonificações trimestrais/semestrais do time</t>
        </is>
      </c>
      <c r="E13" s="25" t="inlineStr">
        <is>
          <t>Participação em projetos e atingimento de resultados — CONFIRMAR se houve parcela no 1º quadrimestre</t>
        </is>
      </c>
      <c r="F13" s="24" t="inlineStr"/>
      <c r="G13" s="24" t="inlineStr">
        <is>
          <t>Prêmios</t>
        </is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10293.6</v>
      </c>
      <c r="P13" s="26" t="n">
        <v>0</v>
      </c>
      <c r="Q13" s="26" t="n">
        <v>0</v>
      </c>
      <c r="R13" s="26" t="n">
        <v>0</v>
      </c>
      <c r="S13" s="26" t="n">
        <v>12867</v>
      </c>
      <c r="T13" s="33">
        <f>SUM(H13:S13)</f>
        <v/>
      </c>
    </row>
    <row r="14">
      <c r="A14" s="30" t="inlineStr">
        <is>
          <t>TOTAL GERAL</t>
        </is>
      </c>
      <c r="B14" s="30" t="n"/>
      <c r="C14" s="30" t="n"/>
      <c r="D14" s="30" t="n"/>
      <c r="E14" s="30" t="n"/>
      <c r="F14" s="30" t="n"/>
      <c r="G14" s="30" t="n"/>
      <c r="H14" s="31">
        <f>SUM(H5:H13)</f>
        <v/>
      </c>
      <c r="I14" s="31">
        <f>SUM(I5:I13)</f>
        <v/>
      </c>
      <c r="J14" s="31">
        <f>SUM(J5:J13)</f>
        <v/>
      </c>
      <c r="K14" s="31">
        <f>SUM(K5:K13)</f>
        <v/>
      </c>
      <c r="L14" s="31">
        <f>SUM(L5:L13)</f>
        <v/>
      </c>
      <c r="M14" s="31">
        <f>SUM(M5:M13)</f>
        <v/>
      </c>
      <c r="N14" s="31">
        <f>SUM(N5:N13)</f>
        <v/>
      </c>
      <c r="O14" s="31">
        <f>SUM(O5:O13)</f>
        <v/>
      </c>
      <c r="P14" s="31">
        <f>SUM(P5:P13)</f>
        <v/>
      </c>
      <c r="Q14" s="31">
        <f>SUM(Q5:Q13)</f>
        <v/>
      </c>
      <c r="R14" s="31">
        <f>SUM(R5:R13)</f>
        <v/>
      </c>
      <c r="S14" s="31">
        <f>SUM(S5:S13)</f>
        <v/>
      </c>
      <c r="T14" s="31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>
        <v>8818</v>
      </c>
      <c r="I5" s="37" t="n">
        <v>8818</v>
      </c>
      <c r="J5" s="37" t="n">
        <v>8818</v>
      </c>
      <c r="K5" s="37" t="n">
        <v>8818</v>
      </c>
      <c r="L5" s="37" t="n">
        <v>8818</v>
      </c>
      <c r="M5" s="37" t="n">
        <v>8818</v>
      </c>
      <c r="N5" s="37" t="n">
        <v>8818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Valor cheio da nota — R$ 1.182/mês abaixo do contratado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/>
      <c r="M6" s="37" t="n"/>
      <c r="N6" s="37" t="n"/>
      <c r="O6" s="37" t="n"/>
      <c r="T6" s="33">
        <f>SUM(H6:S6)</f>
        <v/>
      </c>
      <c r="U6" s="38" t="n"/>
      <c r="V6" s="38" t="inlineStr">
        <is>
          <t>PREENCHER com o CUSTO TOTAL. Bruto informado: R$ 2.886,91/mês — faltam encargos e benefícios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4500</v>
      </c>
      <c r="I7" s="37" t="n">
        <v>4500</v>
      </c>
      <c r="J7" s="37" t="n">
        <v>4500</v>
      </c>
      <c r="K7" s="37" t="n">
        <v>5500</v>
      </c>
      <c r="L7" s="37" t="n">
        <v>5500</v>
      </c>
      <c r="M7" s="37" t="n">
        <v>5500</v>
      </c>
      <c r="N7" s="37" t="n">
        <v>5500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R$ 4.500/mês em jan–mar; aumento de R$ 1.000 a partir de abr/26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Ainda não iniciado — sem cobrança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>
        <v>136</v>
      </c>
      <c r="I9" s="37" t="n">
        <v>136</v>
      </c>
      <c r="J9" s="37" t="n">
        <v>136</v>
      </c>
      <c r="K9" s="37" t="n">
        <v>136</v>
      </c>
      <c r="L9" s="37" t="n">
        <v>136</v>
      </c>
      <c r="M9" s="37" t="n">
        <v>136</v>
      </c>
      <c r="N9" s="37" t="n">
        <v>136</v>
      </c>
      <c r="O9" s="37" t="n"/>
      <c r="T9" s="33">
        <f>SUM(H9:S9)</f>
        <v/>
      </c>
      <c r="U9" s="38" t="inlineStr">
        <is>
          <t>Gestora, 05/08/26</t>
        </is>
      </c>
      <c r="V9" s="38" t="inlineStr">
        <is>
          <t>Acima do orçado (R$ 104,90) — conferir contrato</t>
        </is>
      </c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>
        <v>0</v>
      </c>
      <c r="I10" s="37" t="n">
        <v>0</v>
      </c>
      <c r="J10" s="37" t="n">
        <v>0</v>
      </c>
      <c r="K10" s="37" t="n">
        <v>0</v>
      </c>
      <c r="L10" s="37" t="n">
        <v>0</v>
      </c>
      <c r="M10" s="37" t="n">
        <v>0</v>
      </c>
      <c r="N10" s="37" t="n">
        <v>0</v>
      </c>
      <c r="O10" s="37" t="n"/>
      <c r="T10" s="33">
        <f>SUM(H10:S10)</f>
        <v/>
      </c>
      <c r="U10" s="38" t="inlineStr">
        <is>
          <t>Gestora, 05/08/26</t>
        </is>
      </c>
      <c r="V10" s="38" t="inlineStr">
        <is>
          <t>Cancelado — sem cobrança</t>
        </is>
      </c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>
        <v>970</v>
      </c>
      <c r="I11" s="37" t="n">
        <v>970</v>
      </c>
      <c r="J11" s="37" t="n">
        <v>970</v>
      </c>
      <c r="K11" s="37" t="n">
        <v>970</v>
      </c>
      <c r="L11" s="37" t="n">
        <v>970</v>
      </c>
      <c r="M11" s="37" t="n">
        <v>970</v>
      </c>
      <c r="N11" s="37" t="n">
        <v>970</v>
      </c>
      <c r="O11" s="37" t="n"/>
      <c r="T11" s="33">
        <f>SUM(H11:S11)</f>
        <v/>
      </c>
      <c r="U11" s="38" t="inlineStr">
        <is>
          <t>Gestora, 05/08/26</t>
        </is>
      </c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>
        <v>0</v>
      </c>
      <c r="I12" s="37" t="n">
        <v>0</v>
      </c>
      <c r="J12" s="37" t="n">
        <v>0</v>
      </c>
      <c r="K12" s="37" t="n">
        <v>0</v>
      </c>
      <c r="L12" s="37" t="n">
        <v>0</v>
      </c>
      <c r="M12" s="37" t="n">
        <v>0</v>
      </c>
      <c r="N12" s="37" t="n">
        <v>0</v>
      </c>
      <c r="O12" s="37" t="n"/>
      <c r="T12" s="33">
        <f>SUM(H12:S12)</f>
        <v/>
      </c>
      <c r="U12" s="38" t="inlineStr">
        <is>
          <t>Gestora, 05/08/26</t>
        </is>
      </c>
      <c r="V12" s="38" t="inlineStr">
        <is>
          <t>Sem gasto no período</t>
        </is>
      </c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>
        <v>0</v>
      </c>
      <c r="I13" s="37" t="n">
        <v>0</v>
      </c>
      <c r="J13" s="37" t="n">
        <v>0</v>
      </c>
      <c r="K13" s="37" t="n">
        <v>0</v>
      </c>
      <c r="L13" s="37" t="n">
        <v>0</v>
      </c>
      <c r="M13" s="37" t="n">
        <v>0</v>
      </c>
      <c r="N13" s="37" t="n">
        <v>0</v>
      </c>
      <c r="O13" s="37" t="n"/>
      <c r="T13" s="33">
        <f>SUM(H13:S13)</f>
        <v/>
      </c>
      <c r="U13" s="38" t="inlineStr">
        <is>
          <t>Gestora, 05/08/26</t>
        </is>
      </c>
      <c r="V13" s="38" t="inlineStr">
        <is>
          <t>Sem parcela no 1º semestre; bonificação de ago/26 a confirmar</t>
        </is>
      </c>
    </row>
    <row r="14">
      <c r="A14" s="39" t="inlineStr">
        <is>
          <t>TOTAL GERAL</t>
        </is>
      </c>
      <c r="B14" s="39" t="n"/>
      <c r="C14" s="39" t="n"/>
      <c r="D14" s="39" t="n"/>
      <c r="E14" s="39" t="n"/>
      <c r="F14" s="39" t="n"/>
      <c r="G14" s="39" t="n"/>
      <c r="H14" s="40">
        <f>SUM(H5:H13)</f>
        <v/>
      </c>
      <c r="I14" s="40">
        <f>SUM(I5:I13)</f>
        <v/>
      </c>
      <c r="J14" s="40">
        <f>SUM(J5:J13)</f>
        <v/>
      </c>
      <c r="K14" s="40">
        <f>SUM(K5:K13)</f>
        <v/>
      </c>
      <c r="L14" s="40">
        <f>SUM(L5:L13)</f>
        <v/>
      </c>
      <c r="M14" s="40">
        <f>SUM(M5:M13)</f>
        <v/>
      </c>
      <c r="N14" s="40">
        <f>SUM(N5:N13)</f>
        <v/>
      </c>
      <c r="O14" s="40">
        <f>SUM(O5:O13)</f>
        <v/>
      </c>
      <c r="P14" s="40">
        <f>SUM(P5:P13)</f>
        <v/>
      </c>
      <c r="Q14" s="40">
        <f>SUM(Q5:Q13)</f>
        <v/>
      </c>
      <c r="R14" s="40">
        <f>SUM(R5:R13)</f>
        <v/>
      </c>
      <c r="S14" s="40">
        <f>SUM(S5:S13)</f>
        <v/>
      </c>
      <c r="T14" s="40">
        <f>SUM(T5:T13)</f>
        <v/>
      </c>
      <c r="U14" s="39" t="n"/>
      <c r="V14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26">
        <f>SUMIFS(Planejado!$H$5:$H$13,Planejado!$B$5:$B$13,"Jurídico")</f>
        <v/>
      </c>
      <c r="C5" s="26">
        <f>SUMIFS(Realizado!$H$5:$H$13,Realizado!$B$5:$B$13,"Jurídico")</f>
        <v/>
      </c>
      <c r="D5" s="26">
        <f>B5</f>
        <v/>
      </c>
      <c r="E5" s="26">
        <f>C5</f>
        <v/>
      </c>
      <c r="F5" s="26">
        <f>E5-D5</f>
        <v/>
      </c>
      <c r="G5" s="26">
        <f>SUM($D$5:D5)</f>
        <v/>
      </c>
      <c r="H5" s="26">
        <f>SUM($E$5:E5)</f>
        <v/>
      </c>
    </row>
    <row r="6" ht="20" customHeight="1">
      <c r="A6" s="42" t="inlineStr">
        <is>
          <t>Fev/26</t>
        </is>
      </c>
      <c r="B6" s="43">
        <f>SUMIFS(Planejado!$I$5:$I$13,Planejado!$B$5:$B$13,"Jurídico")</f>
        <v/>
      </c>
      <c r="C6" s="43">
        <f>SUMIFS(Realizado!$I$5:$I$13,Realizado!$B$5:$B$13,"Jurídico")</f>
        <v/>
      </c>
      <c r="D6" s="43">
        <f>B6</f>
        <v/>
      </c>
      <c r="E6" s="43">
        <f>C6</f>
        <v/>
      </c>
      <c r="F6" s="43">
        <f>E6-D6</f>
        <v/>
      </c>
      <c r="G6" s="43">
        <f>SUM($D$5:D6)</f>
        <v/>
      </c>
      <c r="H6" s="43">
        <f>SUM($E$5:E6)</f>
        <v/>
      </c>
    </row>
    <row r="7" ht="20" customHeight="1">
      <c r="A7" s="41" t="inlineStr">
        <is>
          <t>Mar/26</t>
        </is>
      </c>
      <c r="B7" s="26">
        <f>SUMIFS(Planejado!$J$5:$J$13,Planejado!$B$5:$B$13,"Jurídico")</f>
        <v/>
      </c>
      <c r="C7" s="26">
        <f>SUMIFS(Realizado!$J$5:$J$13,Realizado!$B$5:$B$13,"Jurídico")</f>
        <v/>
      </c>
      <c r="D7" s="26">
        <f>B7</f>
        <v/>
      </c>
      <c r="E7" s="26">
        <f>C7</f>
        <v/>
      </c>
      <c r="F7" s="26">
        <f>E7-D7</f>
        <v/>
      </c>
      <c r="G7" s="26">
        <f>SUM($D$5:D7)</f>
        <v/>
      </c>
      <c r="H7" s="26">
        <f>SUM($E$5:E7)</f>
        <v/>
      </c>
    </row>
    <row r="8" ht="20" customHeight="1">
      <c r="A8" s="42" t="inlineStr">
        <is>
          <t>Abr/26</t>
        </is>
      </c>
      <c r="B8" s="43">
        <f>SUMIFS(Planejado!$K$5:$K$13,Planejado!$B$5:$B$13,"Jurídico")</f>
        <v/>
      </c>
      <c r="C8" s="43">
        <f>SUMIFS(Realizado!$K$5:$K$13,Realizado!$B$5:$B$13,"Jurídico")</f>
        <v/>
      </c>
      <c r="D8" s="43">
        <f>B8</f>
        <v/>
      </c>
      <c r="E8" s="43">
        <f>C8</f>
        <v/>
      </c>
      <c r="F8" s="43">
        <f>E8-D8</f>
        <v/>
      </c>
      <c r="G8" s="43">
        <f>SUM($D$5:D8)</f>
        <v/>
      </c>
      <c r="H8" s="43">
        <f>SUM($E$5:E8)</f>
        <v/>
      </c>
    </row>
    <row r="9" ht="20" customHeight="1">
      <c r="A9" s="41" t="inlineStr">
        <is>
          <t>Mai/26</t>
        </is>
      </c>
      <c r="B9" s="26">
        <f>SUMIFS(Planejado!$L$5:$L$13,Planejado!$B$5:$B$13,"Jurídico")</f>
        <v/>
      </c>
      <c r="C9" s="26">
        <f>SUMIFS(Realizado!$L$5:$L$13,Realizado!$B$5:$B$13,"Jurídico")</f>
        <v/>
      </c>
      <c r="D9" s="26">
        <f>B9</f>
        <v/>
      </c>
      <c r="E9" s="26">
        <f>C9</f>
        <v/>
      </c>
      <c r="F9" s="26">
        <f>E9-D9</f>
        <v/>
      </c>
      <c r="G9" s="26">
        <f>SUM($D$5:D9)</f>
        <v/>
      </c>
      <c r="H9" s="26">
        <f>SUM($E$5:E9)</f>
        <v/>
      </c>
    </row>
    <row r="10" ht="20" customHeight="1">
      <c r="A10" s="42" t="inlineStr">
        <is>
          <t>Jun/26</t>
        </is>
      </c>
      <c r="B10" s="43">
        <f>SUMIFS(Planejado!$M$5:$M$13,Planejado!$B$5:$B$13,"Jurídico")</f>
        <v/>
      </c>
      <c r="C10" s="43">
        <f>SUMIFS(Realizado!$M$5:$M$13,Realizado!$B$5:$B$13,"Jurídico")</f>
        <v/>
      </c>
      <c r="D10" s="43">
        <f>B10</f>
        <v/>
      </c>
      <c r="E10" s="43">
        <f>C10</f>
        <v/>
      </c>
      <c r="F10" s="43">
        <f>E10-D10</f>
        <v/>
      </c>
      <c r="G10" s="43">
        <f>SUM($D$5:D10)</f>
        <v/>
      </c>
      <c r="H10" s="43">
        <f>SUM($E$5:E10)</f>
        <v/>
      </c>
    </row>
    <row r="11" ht="20" customHeight="1">
      <c r="A11" s="41" t="inlineStr">
        <is>
          <t>Jul/26</t>
        </is>
      </c>
      <c r="B11" s="26">
        <f>SUMIFS(Planejado!$N$5:$N$13,Planejado!$B$5:$B$13,"Jurídico")</f>
        <v/>
      </c>
      <c r="C11" s="26">
        <f>SUMIFS(Realizado!$N$5:$N$13,Realizado!$B$5:$B$13,"Jurídico")</f>
        <v/>
      </c>
      <c r="D11" s="26">
        <f>B11</f>
        <v/>
      </c>
      <c r="E11" s="26">
        <f>C11</f>
        <v/>
      </c>
      <c r="F11" s="26">
        <f>E11-D11</f>
        <v/>
      </c>
      <c r="G11" s="26">
        <f>SUM($D$5:D11)</f>
        <v/>
      </c>
      <c r="H11" s="26">
        <f>SUM($E$5:E11)</f>
        <v/>
      </c>
    </row>
    <row r="12" ht="20" customHeight="1">
      <c r="A12" s="42" t="inlineStr">
        <is>
          <t>Ago/26</t>
        </is>
      </c>
      <c r="B12" s="43">
        <f>SUMIFS(Planejado!$O$5:$O$13,Planejado!$B$5:$B$13,"Jurídico")</f>
        <v/>
      </c>
      <c r="C12" s="43">
        <f>SUMIFS(Realizado!$O$5:$O$13,Realizado!$B$5:$B$13,"Jurídico")</f>
        <v/>
      </c>
      <c r="D12" s="43">
        <f>B12</f>
        <v/>
      </c>
      <c r="E12" s="43">
        <f>C12</f>
        <v/>
      </c>
      <c r="F12" s="43">
        <f>E12-D12</f>
        <v/>
      </c>
      <c r="G12" s="43">
        <f>SUM($D$5:D12)</f>
        <v/>
      </c>
      <c r="H12" s="43">
        <f>SUM($E$5:E12)</f>
        <v/>
      </c>
    </row>
    <row r="13" ht="20" customHeight="1">
      <c r="A13" s="41" t="inlineStr">
        <is>
          <t>Set/26</t>
        </is>
      </c>
      <c r="B13" s="26">
        <f>SUMIFS(Planejado!$P$5:$P$13,Planejado!$B$5:$B$13,"Jurídico")</f>
        <v/>
      </c>
      <c r="C13" s="26">
        <f>SUMIFS(Realizado!$P$5:$P$13,Realizado!$B$5:$B$13,"Jurídico")</f>
        <v/>
      </c>
      <c r="D13" s="26">
        <f>B13</f>
        <v/>
      </c>
      <c r="E13" s="26">
        <f>C13</f>
        <v/>
      </c>
      <c r="F13" s="26">
        <f>E13-D13</f>
        <v/>
      </c>
      <c r="G13" s="26">
        <f>SUM($D$5:D13)</f>
        <v/>
      </c>
      <c r="H13" s="26">
        <f>SUM($E$5:E13)</f>
        <v/>
      </c>
    </row>
    <row r="14" ht="20" customHeight="1">
      <c r="A14" s="42" t="inlineStr">
        <is>
          <t>Out/26</t>
        </is>
      </c>
      <c r="B14" s="43">
        <f>SUMIFS(Planejado!$Q$5:$Q$13,Planejado!$B$5:$B$13,"Jurídico")</f>
        <v/>
      </c>
      <c r="C14" s="43">
        <f>SUMIFS(Realizado!$Q$5:$Q$13,Realizado!$B$5:$B$13,"Jurídico")</f>
        <v/>
      </c>
      <c r="D14" s="43">
        <f>B14</f>
        <v/>
      </c>
      <c r="E14" s="43">
        <f>C14</f>
        <v/>
      </c>
      <c r="F14" s="43">
        <f>E14-D14</f>
        <v/>
      </c>
      <c r="G14" s="43">
        <f>SUM($D$5:D14)</f>
        <v/>
      </c>
      <c r="H14" s="43">
        <f>SUM($E$5:E14)</f>
        <v/>
      </c>
    </row>
    <row r="15" ht="20" customHeight="1">
      <c r="A15" s="41" t="inlineStr">
        <is>
          <t>Nov/26</t>
        </is>
      </c>
      <c r="B15" s="26">
        <f>SUMIFS(Planejado!$R$5:$R$13,Planejado!$B$5:$B$13,"Jurídico")</f>
        <v/>
      </c>
      <c r="C15" s="26">
        <f>SUMIFS(Realizado!$R$5:$R$13,Realizado!$B$5:$B$13,"Jurídico")</f>
        <v/>
      </c>
      <c r="D15" s="26">
        <f>B15</f>
        <v/>
      </c>
      <c r="E15" s="26">
        <f>C15</f>
        <v/>
      </c>
      <c r="F15" s="26">
        <f>E15-D15</f>
        <v/>
      </c>
      <c r="G15" s="26">
        <f>SUM($D$5:D15)</f>
        <v/>
      </c>
      <c r="H15" s="26">
        <f>SUM($E$5:E15)</f>
        <v/>
      </c>
    </row>
    <row r="16" ht="20" customHeight="1">
      <c r="A16" s="42" t="inlineStr">
        <is>
          <t>Dez/26</t>
        </is>
      </c>
      <c r="B16" s="43">
        <f>SUMIFS(Planejado!$S$5:$S$13,Planejado!$B$5:$B$13,"Jurídico")</f>
        <v/>
      </c>
      <c r="C16" s="43">
        <f>SUMIFS(Realizado!$S$5:$S$13,Realizado!$B$5:$B$13,"Jurídico")</f>
        <v/>
      </c>
      <c r="D16" s="43">
        <f>B16</f>
        <v/>
      </c>
      <c r="E16" s="43">
        <f>C16</f>
        <v/>
      </c>
      <c r="F16" s="43">
        <f>E16-D16</f>
        <v/>
      </c>
      <c r="G16" s="43">
        <f>SUM($D$5:D16)</f>
        <v/>
      </c>
      <c r="H16" s="43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26">
        <f>SUMIFS(Comparativo!$I$6:$I$14,Comparativo!$E$6:$E$14,$A5,Comparativo!$B$6:$B$14,"Jurídico")</f>
        <v/>
      </c>
      <c r="C5" s="26">
        <f>SUMIFS(Comparativo!$J$6:$J$14,Comparativo!$E$6:$E$14,$A5,Comparativo!$B$6:$B$14,"Jurídico")</f>
        <v/>
      </c>
      <c r="D5" s="26">
        <f>B5</f>
        <v/>
      </c>
      <c r="E5" s="26">
        <f>C5</f>
        <v/>
      </c>
      <c r="F5" s="26">
        <f>E5-D5</f>
        <v/>
      </c>
      <c r="G5" s="45">
        <f>IFERROR(F5/D5,"")</f>
        <v/>
      </c>
      <c r="H5" s="26">
        <f>SUMIFS(Planejado!$T$5:$T$13,Planejado!$G$5:$G$13,$A5)</f>
        <v/>
      </c>
    </row>
    <row r="6" ht="20" customHeight="1">
      <c r="A6" s="46" t="inlineStr">
        <is>
          <t>Pessoal - PJ</t>
        </is>
      </c>
      <c r="B6" s="43">
        <f>SUMIFS(Comparativo!$I$6:$I$14,Comparativo!$E$6:$E$14,$A6,Comparativo!$B$6:$B$14,"Jurídico")</f>
        <v/>
      </c>
      <c r="C6" s="43">
        <f>SUMIFS(Comparativo!$J$6:$J$14,Comparativo!$E$6:$E$14,$A6,Comparativo!$B$6:$B$14,"Jurídico")</f>
        <v/>
      </c>
      <c r="D6" s="43">
        <f>B6</f>
        <v/>
      </c>
      <c r="E6" s="43">
        <f>C6</f>
        <v/>
      </c>
      <c r="F6" s="43">
        <f>E6-D6</f>
        <v/>
      </c>
      <c r="G6" s="47">
        <f>IFERROR(F6/D6,"")</f>
        <v/>
      </c>
      <c r="H6" s="43">
        <f>SUMIFS(Planejado!$T$5:$T$13,Planejado!$G$5:$G$13,$A6)</f>
        <v/>
      </c>
    </row>
    <row r="7" ht="20" customHeight="1">
      <c r="A7" s="44" t="inlineStr">
        <is>
          <t>Licenças de Softwares</t>
        </is>
      </c>
      <c r="B7" s="26">
        <f>SUMIFS(Comparativo!$I$6:$I$14,Comparativo!$E$6:$E$14,$A7,Comparativo!$B$6:$B$14,"Jurídico")</f>
        <v/>
      </c>
      <c r="C7" s="26">
        <f>SUMIFS(Comparativo!$J$6:$J$14,Comparativo!$E$6:$E$14,$A7,Comparativo!$B$6:$B$14,"Jurídico")</f>
        <v/>
      </c>
      <c r="D7" s="26">
        <f>B7</f>
        <v/>
      </c>
      <c r="E7" s="26">
        <f>C7</f>
        <v/>
      </c>
      <c r="F7" s="26">
        <f>E7-D7</f>
        <v/>
      </c>
      <c r="G7" s="45">
        <f>IFERROR(F7/D7,"")</f>
        <v/>
      </c>
      <c r="H7" s="26">
        <f>SUMIFS(Planejado!$T$5:$T$13,Planejado!$G$5:$G$13,$A7)</f>
        <v/>
      </c>
    </row>
    <row r="8" ht="20" customHeight="1">
      <c r="A8" s="46" t="inlineStr">
        <is>
          <t>Custeio de Treinamento</t>
        </is>
      </c>
      <c r="B8" s="43">
        <f>SUMIFS(Comparativo!$I$6:$I$14,Comparativo!$E$6:$E$14,$A8,Comparativo!$B$6:$B$14,"Jurídico")</f>
        <v/>
      </c>
      <c r="C8" s="43">
        <f>SUMIFS(Comparativo!$J$6:$J$14,Comparativo!$E$6:$E$14,$A8,Comparativo!$B$6:$B$14,"Jurídico")</f>
        <v/>
      </c>
      <c r="D8" s="43">
        <f>B8</f>
        <v/>
      </c>
      <c r="E8" s="43">
        <f>C8</f>
        <v/>
      </c>
      <c r="F8" s="43">
        <f>E8-D8</f>
        <v/>
      </c>
      <c r="G8" s="47">
        <f>IFERROR(F8/D8,"")</f>
        <v/>
      </c>
      <c r="H8" s="43">
        <f>SUMIFS(Planejado!$T$5:$T$13,Planejado!$G$5:$G$13,$A8)</f>
        <v/>
      </c>
    </row>
    <row r="9" ht="20" customHeight="1">
      <c r="A9" s="44" t="inlineStr">
        <is>
          <t>Prêmios</t>
        </is>
      </c>
      <c r="B9" s="26">
        <f>SUMIFS(Comparativo!$I$6:$I$14,Comparativo!$E$6:$E$14,$A9,Comparativo!$B$6:$B$14,"Jurídico")</f>
        <v/>
      </c>
      <c r="C9" s="26">
        <f>SUMIFS(Comparativo!$J$6:$J$14,Comparativo!$E$6:$E$14,$A9,Comparativo!$B$6:$B$14,"Jurídico")</f>
        <v/>
      </c>
      <c r="D9" s="26">
        <f>B9</f>
        <v/>
      </c>
      <c r="E9" s="26">
        <f>C9</f>
        <v/>
      </c>
      <c r="F9" s="26">
        <f>E9-D9</f>
        <v/>
      </c>
      <c r="G9" s="45">
        <f>IFERROR(F9/D9,"")</f>
        <v/>
      </c>
      <c r="H9" s="26">
        <f>SUMIFS(Planejado!$T$5:$T$13,Planejado!$G$5:$G$13,$A9)</f>
        <v/>
      </c>
    </row>
    <row r="10">
      <c r="A10" s="30" t="inlineStr">
        <is>
          <t>TOTAL</t>
        </is>
      </c>
      <c r="B10" s="31">
        <f>SUM(B5:B9)</f>
        <v/>
      </c>
      <c r="C10" s="31">
        <f>SUM(C5:C9)</f>
        <v/>
      </c>
      <c r="D10" s="31">
        <f>SUM(D5:D9)</f>
        <v/>
      </c>
      <c r="E10" s="31">
        <f>SUM(E5:E9)</f>
        <v/>
      </c>
      <c r="F10" s="31">
        <f>SUM(F5:F9)</f>
        <v/>
      </c>
      <c r="G10" s="48">
        <f>IFERROR(F10/D10,"")</f>
        <v/>
      </c>
      <c r="H10" s="31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A</t>
        </is>
      </c>
      <c r="B5" s="50" t="inlineStr">
        <is>
          <t>Custo total da Geovanna — A LANÇAR</t>
        </is>
      </c>
      <c r="C5" s="50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0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C</t>
        </is>
      </c>
      <c r="B6" s="53" t="inlineStr">
        <is>
          <t>Aumento da Thamar em abr/26</t>
        </is>
      </c>
      <c r="C6" s="53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53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53" t="inlineStr">
        <is>
          <t>Cristiane</t>
        </is>
      </c>
      <c r="F6" s="54" t="inlineStr">
        <is>
          <t>APLICADO</t>
        </is>
      </c>
    </row>
    <row r="7" ht="58" customHeight="1">
      <c r="A7" s="49" t="inlineStr">
        <is>
          <t>D</t>
        </is>
      </c>
      <c r="B7" s="50" t="inlineStr">
        <is>
          <t>Jusbrasil 30% acima do orçado</t>
        </is>
      </c>
      <c r="C7" s="50" t="inlineStr">
        <is>
          <t>Orçado R$ 104,90/mês, realizado R$ 136,00/mês em mai, jun e jul.</t>
        </is>
      </c>
      <c r="D7" s="50" t="inlineStr">
        <is>
          <t>Menor desvio em reais (R$ 31,10/mês), mas o maior em percentual. Vale conferir se houve reajuste contratual ou mudança de plano.</t>
        </is>
      </c>
      <c r="E7" s="50" t="inlineStr">
        <is>
          <t>Cristiane</t>
        </is>
      </c>
      <c r="F7" s="55" t="inlineStr">
        <is>
          <t>EM ABERTO</t>
        </is>
      </c>
    </row>
    <row r="8" ht="58" customHeight="1">
      <c r="A8" s="52" t="inlineStr">
        <is>
          <t>E</t>
        </is>
      </c>
      <c r="B8" s="53" t="inlineStr">
        <is>
          <t>Bonificação de ago/26 do Jurídico</t>
        </is>
      </c>
      <c r="C8" s="53" t="inlineStr">
        <is>
          <t>Estão orçados R$ 10.293,60 em agosto e R$ 12.867,00 em dezembro. O realizado de agosto ainda não foi informado.</t>
        </is>
      </c>
      <c r="D8" s="53" t="inlineStr">
        <is>
          <t>É a maior despesa isolada do Jurídico no segundo semestre.</t>
        </is>
      </c>
      <c r="E8" s="53" t="inlineStr">
        <is>
          <t>Cristiane</t>
        </is>
      </c>
      <c r="F8" s="55" t="inlineStr">
        <is>
          <t>EM ABERTO</t>
        </is>
      </c>
    </row>
    <row r="9" ht="58" customHeight="1">
      <c r="A9" s="49" t="inlineStr">
        <is>
          <t>H</t>
        </is>
      </c>
      <c r="B9" s="50" t="inlineStr">
        <is>
          <t>Planejado de jan a abr — CONFERIR</t>
        </is>
      </c>
      <c r="C9" s="5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0" t="inlineStr">
        <is>
          <t>Se algum contrato tinha valor diferente no 1º quadrimestre, ou se houve bonificação nesse período, o planejado de jan a abr precisa ser corrigido antes de comparar com o realizado.</t>
        </is>
      </c>
      <c r="E9" s="50" t="inlineStr">
        <is>
          <t>Cristiane</t>
        </is>
      </c>
      <c r="F9" s="56" t="inlineStr">
        <is>
          <t>CONFERIR</t>
        </is>
      </c>
    </row>
    <row r="10" ht="58" customHeight="1">
      <c r="A10" s="52" t="inlineStr">
        <is>
          <t>I</t>
        </is>
      </c>
      <c r="B10" s="53" t="inlineStr">
        <is>
          <t>Realizado de jan a abr — A LANÇAR</t>
        </is>
      </c>
      <c r="C10" s="53" t="inlineStr">
        <is>
          <t>As colunas de jan a abr estão em branco na aba Realizado. Só mai, jun e jul foram informados.</t>
        </is>
      </c>
      <c r="D10" s="53" t="inlineStr">
        <is>
          <t>São 4 dos 7 meses já fechados do ano. Sem eles o acumulado e o Painel refletem menos da metade do período decorrido.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2</t>
        </is>
      </c>
      <c r="B11" s="50" t="inlineStr">
        <is>
          <t>Origem do valor realizado</t>
        </is>
      </c>
      <c r="C11" s="50" t="inlineStr">
        <is>
          <t>Ainda não definido se o realizado virá de lançamento manual, de relatório do financeiro/ERP por centro de custo, ou misto. Até aqui os números vieram informados pela gestora.</t>
        </is>
      </c>
      <c r="D11" s="50" t="inlineStr">
        <is>
          <t>Sem fonte definida o realizado pode divergir da contabilidade e o comparativo perde valor na apresentação à diretoria.</t>
        </is>
      </c>
      <c r="E11" s="50" t="inlineStr">
        <is>
          <t>Cristiane + Financeiro</t>
        </is>
      </c>
      <c r="F11" s="55" t="inlineStr">
        <is>
          <t>EM ABERTO</t>
        </is>
      </c>
    </row>
    <row r="12" ht="58" customHeight="1">
      <c r="A12" s="52" t="inlineStr">
        <is>
          <t>3</t>
        </is>
      </c>
      <c r="B12" s="53" t="inlineStr">
        <is>
          <t>Jusfy x Astrea</t>
        </is>
      </c>
      <c r="C12" s="53" t="inlineStr">
        <is>
          <t>O risco era pagar os dois em paralelo. O realizado de mai–jul mostra Astrea em R$ 0 (cancelado) e Jusfy em R$ 0 (ainda não iniciado) — no momento não há custo de nenhum dos dois.</t>
        </is>
      </c>
      <c r="D12" s="53" t="inlineStr">
        <is>
          <t>Economia de R$ 212,07/mês enquanto durar. Falta decidir se o Jusfy entra e quando, para ajustar o planejado dos meses seguintes.</t>
        </is>
      </c>
      <c r="E12" s="53" t="inlineStr">
        <is>
          <t>Cristiane</t>
        </is>
      </c>
      <c r="F12" s="54" t="inlineStr">
        <is>
          <t>RESOLVIDO</t>
        </is>
      </c>
    </row>
    <row r="13" ht="58" customHeight="1">
      <c r="A13" s="49" t="inlineStr">
        <is>
          <t>7</t>
        </is>
      </c>
      <c r="B13" s="50" t="inlineStr">
        <is>
          <t>Critério de competência x caixa</t>
        </is>
      </c>
      <c r="C13" s="50" t="inlineStr">
        <is>
          <t>Definir se o realizado será lançado pela data de pagamento (caixa) ou pelo mês de referência da despesa (competência).</t>
        </is>
      </c>
      <c r="D13" s="50" t="inlineStr">
        <is>
          <t>Misturar os dois critérios gera desvio artificial em meses de virada, principalmente em folha e prêmios.</t>
        </is>
      </c>
      <c r="E13" s="50" t="inlineStr">
        <is>
          <t>Cristiane + Financeiro</t>
        </is>
      </c>
      <c r="F13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2026-08-06T11:09:11Z</dcterms:created>
  <dcterms:modified xsi:type="dcterms:W3CDTF">2026-08-06T11:09:11Z</dcterms:modified>
</cp:coreProperties>
</file>