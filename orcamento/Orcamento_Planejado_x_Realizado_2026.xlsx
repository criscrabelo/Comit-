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'Comparativo'!$A$5:$N$27</definedName>
    <definedName name="_xlnm._FilterDatabase" localSheetId="2" hidden="1">'Planejado'!$A$4:$P$26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Mensal'!$I$5:$I$12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Mensal'!$J$5:$J$12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Mensal'!$F$5:$F$12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Mensal'!$A$5:$A$12</f>
            </numRef>
          </cat>
          <val>
            <numRef>
              <f>'Evolução Mensal'!$G$5:$G$12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8 meses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SUMIFS(Planejado!$P$5:$P$26,Planejado!$B$5:$B$26,"Jurídico",Planejado!$C$5:$C$26,"Equipe")</f>
        <v/>
      </c>
      <c r="D6" s="8">
        <f>SUMIFS(Comparativo!$I$6:$I$27,Comparativo!$B$6:$B$27,"Jurídico",Comparativo!$C$6:$C$27,"Equipe")</f>
        <v/>
      </c>
      <c r="E6" s="8">
        <f>SUMIFS(Comparativo!$J$6:$J$27,Comparativo!$B$6:$B$27,"Jurídico",Comparativo!$C$6:$C$27,"Equipe")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COUNTIFS(Comparativo!$P$6:$P$27,"&gt;0",Comparativo!$B$6:$B$27,"Jurídico",Comparativo!$C$6:$C$27,"Equipe")&amp;" de "&amp;COUNTIFS(Comparativo!$A$6:$A$27,"?*",Comparativo!$B$6:$B$27,"Jurídico",Comparativo!$C$6:$C$27,"Equipe")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SUMIFS(Planejado!$P$5:$P$26,Planejado!$B$5:$B$26,"Jurídico",Planejado!$C$5:$C$26,"Despesas")</f>
        <v/>
      </c>
      <c r="D7" s="8">
        <f>SUMIFS(Comparativo!$I$6:$I$27,Comparativo!$B$6:$B$27,"Jurídico",Comparativo!$C$6:$C$27,"Despesas")</f>
        <v/>
      </c>
      <c r="E7" s="8">
        <f>SUMIFS(Comparativo!$J$6:$J$27,Comparativo!$B$6:$B$27,"Jurídico",Comparativo!$C$6:$C$27,"Despesas")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COUNTIFS(Comparativo!$P$6:$P$27,"&gt;0",Comparativo!$B$6:$B$27,"Jurídico",Comparativo!$C$6:$C$27,"Despesas")&amp;" de "&amp;COUNTIFS(Comparativo!$A$6:$A$27,"?*",Comparativo!$B$6:$B$27,"Jurídico",Comparativo!$C$6:$C$27,"Despesas")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SUMIFS(Planejado!$P$5:$P$26,Planejado!$B$5:$B$26,"Jurídico")</f>
        <v/>
      </c>
      <c r="D8" s="12">
        <f>SUMIFS(Comparativo!$I$6:$I$27,Comparativo!$B$6:$B$27,"Jurídico")</f>
        <v/>
      </c>
      <c r="E8" s="12">
        <f>SUMIFS(Comparativo!$J$6:$J$27,Comparativo!$B$6:$B$27,"Jurídico")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COUNTIFS(Comparativo!$P$6:$P$27,"&gt;0",Comparativo!$B$6:$B$27,"Jurídico")&amp;" de "&amp;COUNTIFS(Comparativo!$A$6:$A$27,"?*",Comparativo!$B$6:$B$27,"Jurídico")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SUMIFS(Planejado!$P$5:$P$26,Planejado!$B$5:$B$26,"TI",Planejado!$C$5:$C$26,"Equipe")</f>
        <v/>
      </c>
      <c r="D9" s="8">
        <f>SUMIFS(Comparativo!$I$6:$I$27,Comparativo!$B$6:$B$27,"TI",Comparativo!$C$6:$C$27,"Equipe")</f>
        <v/>
      </c>
      <c r="E9" s="8">
        <f>SUMIFS(Comparativo!$J$6:$J$27,Comparativo!$B$6:$B$27,"TI",Comparativo!$C$6:$C$27,"Equipe")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COUNTIFS(Comparativo!$P$6:$P$27,"&gt;0",Comparativo!$B$6:$B$27,"TI",Comparativo!$C$6:$C$27,"Equipe")&amp;" de "&amp;COUNTIFS(Comparativo!$A$6:$A$27,"?*",Comparativo!$B$6:$B$27,"TI",Comparativo!$C$6:$C$27,"Equipe")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SUMIFS(Planejado!$P$5:$P$26,Planejado!$B$5:$B$26,"TI",Planejado!$C$5:$C$26,"Despesas")</f>
        <v/>
      </c>
      <c r="D10" s="8">
        <f>SUMIFS(Comparativo!$I$6:$I$27,Comparativo!$B$6:$B$27,"TI",Comparativo!$C$6:$C$27,"Despesas")</f>
        <v/>
      </c>
      <c r="E10" s="8">
        <f>SUMIFS(Comparativo!$J$6:$J$27,Comparativo!$B$6:$B$27,"TI",Comparativo!$C$6:$C$27,"Despesas")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COUNTIFS(Comparativo!$P$6:$P$27,"&gt;0",Comparativo!$B$6:$B$27,"TI",Comparativo!$C$6:$C$27,"Despesas")&amp;" de "&amp;COUNTIFS(Comparativo!$A$6:$A$27,"?*",Comparativo!$B$6:$B$27,"TI",Comparativo!$C$6:$C$27,"Despesas")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SUMIFS(Planejado!$P$5:$P$26,Planejado!$B$5:$B$26,"TI")</f>
        <v/>
      </c>
      <c r="D11" s="12">
        <f>SUMIFS(Comparativo!$I$6:$I$27,Comparativo!$B$6:$B$27,"TI")</f>
        <v/>
      </c>
      <c r="E11" s="12">
        <f>SUMIFS(Comparativo!$J$6:$J$27,Comparativo!$B$6:$B$27,"TI")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COUNTIFS(Comparativo!$P$6:$P$27,"&gt;0",Comparativo!$B$6:$B$27,"TI")&amp;" de "&amp;COUNTIFS(Comparativo!$A$6:$A$27,"?*",Comparativo!$B$6:$B$27,"TI")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SUM(Planejado!$P$5:$P$26)</f>
        <v/>
      </c>
      <c r="D12" s="16">
        <f>SUM(Comparativo!$I$6:$I$27)</f>
        <v/>
      </c>
      <c r="E12" s="16">
        <f>SUM(Comparativo!$J$6:$J$27)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COUNTIFS(Comparativo!$P$6:$P$27,"&gt;0")&amp;" de "&amp;COUNTA(Comparativo!$A$6:$A$27)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IFERROR(INDEX(Comparativo!$D$6:$D$27,MATCH(LARGE(Comparativo!$O$6:$O$27,A17),Comparativo!$O$6:$O$27,0)),"")</f>
        <v/>
      </c>
      <c r="C17" s="21">
        <f>IFERROR(INDEX(Comparativo!$B$6:$B$27,MATCH(LARGE(Comparativo!$O$6:$O$27,A17),Comparativo!$O$6:$O$27,0)),"")</f>
        <v/>
      </c>
      <c r="D17" s="22">
        <f>IFERROR(INDEX(Comparativo!$I$6:$I$27,MATCH(LARGE(Comparativo!$O$6:$O$27,A17),Comparativo!$O$6:$O$27,0)),"")</f>
        <v/>
      </c>
      <c r="E17" s="22">
        <f>IFERROR(INDEX(Comparativo!$J$6:$J$27,MATCH(LARGE(Comparativo!$O$6:$O$27,A17),Comparativo!$O$6:$O$27,0)),"")</f>
        <v/>
      </c>
      <c r="F17" s="22">
        <f>IFERROR(INDEX(Comparativo!$K$6:$K$27,MATCH(LARGE(Comparativo!$O$6:$O$27,A17),Comparativo!$O$6:$O$27,0)),"")</f>
        <v/>
      </c>
      <c r="G17" s="23">
        <f>IFERROR(F17/D17,"")</f>
        <v/>
      </c>
    </row>
    <row r="18">
      <c r="A18" s="20" t="n">
        <v>2</v>
      </c>
      <c r="B18" s="21">
        <f>IFERROR(INDEX(Comparativo!$D$6:$D$27,MATCH(LARGE(Comparativo!$O$6:$O$27,A18),Comparativo!$O$6:$O$27,0)),"")</f>
        <v/>
      </c>
      <c r="C18" s="21">
        <f>IFERROR(INDEX(Comparativo!$B$6:$B$27,MATCH(LARGE(Comparativo!$O$6:$O$27,A18),Comparativo!$O$6:$O$27,0)),"")</f>
        <v/>
      </c>
      <c r="D18" s="22">
        <f>IFERROR(INDEX(Comparativo!$I$6:$I$27,MATCH(LARGE(Comparativo!$O$6:$O$27,A18),Comparativo!$O$6:$O$27,0)),"")</f>
        <v/>
      </c>
      <c r="E18" s="22">
        <f>IFERROR(INDEX(Comparativo!$J$6:$J$27,MATCH(LARGE(Comparativo!$O$6:$O$27,A18),Comparativo!$O$6:$O$27,0)),"")</f>
        <v/>
      </c>
      <c r="F18" s="22">
        <f>IFERROR(INDEX(Comparativo!$K$6:$K$27,MATCH(LARGE(Comparativo!$O$6:$O$27,A18),Comparativo!$O$6:$O$27,0)),"")</f>
        <v/>
      </c>
      <c r="G18" s="23">
        <f>IFERROR(F18/D18,"")</f>
        <v/>
      </c>
    </row>
    <row r="19">
      <c r="A19" s="20" t="n">
        <v>3</v>
      </c>
      <c r="B19" s="21">
        <f>IFERROR(INDEX(Comparativo!$D$6:$D$27,MATCH(LARGE(Comparativo!$O$6:$O$27,A19),Comparativo!$O$6:$O$27,0)),"")</f>
        <v/>
      </c>
      <c r="C19" s="21">
        <f>IFERROR(INDEX(Comparativo!$B$6:$B$27,MATCH(LARGE(Comparativo!$O$6:$O$27,A19),Comparativo!$O$6:$O$27,0)),"")</f>
        <v/>
      </c>
      <c r="D19" s="22">
        <f>IFERROR(INDEX(Comparativo!$I$6:$I$27,MATCH(LARGE(Comparativo!$O$6:$O$27,A19),Comparativo!$O$6:$O$27,0)),"")</f>
        <v/>
      </c>
      <c r="E19" s="22">
        <f>IFERROR(INDEX(Comparativo!$J$6:$J$27,MATCH(LARGE(Comparativo!$O$6:$O$27,A19),Comparativo!$O$6:$O$27,0)),"")</f>
        <v/>
      </c>
      <c r="F19" s="22">
        <f>IFERROR(INDEX(Comparativo!$K$6:$K$27,MATCH(LARGE(Comparativo!$O$6:$O$27,A19),Comparativo!$O$6:$O$27,0)),"")</f>
        <v/>
      </c>
      <c r="G19" s="23">
        <f>IFERROR(F19/D19,"")</f>
        <v/>
      </c>
    </row>
    <row r="20">
      <c r="A20" s="20" t="n">
        <v>4</v>
      </c>
      <c r="B20" s="21">
        <f>IFERROR(INDEX(Comparativo!$D$6:$D$27,MATCH(LARGE(Comparativo!$O$6:$O$27,A20),Comparativo!$O$6:$O$27,0)),"")</f>
        <v/>
      </c>
      <c r="C20" s="21">
        <f>IFERROR(INDEX(Comparativo!$B$6:$B$27,MATCH(LARGE(Comparativo!$O$6:$O$27,A20),Comparativo!$O$6:$O$27,0)),"")</f>
        <v/>
      </c>
      <c r="D20" s="22">
        <f>IFERROR(INDEX(Comparativo!$I$6:$I$27,MATCH(LARGE(Comparativo!$O$6:$O$27,A20),Comparativo!$O$6:$O$27,0)),"")</f>
        <v/>
      </c>
      <c r="E20" s="22">
        <f>IFERROR(INDEX(Comparativo!$J$6:$J$27,MATCH(LARGE(Comparativo!$O$6:$O$27,A20),Comparativo!$O$6:$O$27,0)),"")</f>
        <v/>
      </c>
      <c r="F20" s="22">
        <f>IFERROR(INDEX(Comparativo!$K$6:$K$27,MATCH(LARGE(Comparativo!$O$6:$O$27,A20),Comparativo!$O$6:$O$27,0)),"")</f>
        <v/>
      </c>
      <c r="G20" s="23">
        <f>IFERROR(F20/D20,"")</f>
        <v/>
      </c>
    </row>
    <row r="21">
      <c r="A21" s="20" t="n">
        <v>5</v>
      </c>
      <c r="B21" s="21">
        <f>IFERROR(INDEX(Comparativo!$D$6:$D$27,MATCH(LARGE(Comparativo!$O$6:$O$27,A21),Comparativo!$O$6:$O$27,0)),"")</f>
        <v/>
      </c>
      <c r="C21" s="21">
        <f>IFERROR(INDEX(Comparativo!$B$6:$B$27,MATCH(LARGE(Comparativo!$O$6:$O$27,A21),Comparativo!$O$6:$O$27,0)),"")</f>
        <v/>
      </c>
      <c r="D21" s="22">
        <f>IFERROR(INDEX(Comparativo!$I$6:$I$27,MATCH(LARGE(Comparativo!$O$6:$O$27,A21),Comparativo!$O$6:$O$27,0)),"")</f>
        <v/>
      </c>
      <c r="E21" s="22">
        <f>IFERROR(INDEX(Comparativo!$J$6:$J$27,MATCH(LARGE(Comparativo!$O$6:$O$27,A21),Comparativo!$O$6:$O$27,0)),"")</f>
        <v/>
      </c>
      <c r="F21" s="22">
        <f>IFERROR(INDEX(Comparativo!$K$6:$K$27,MATCH(LARGE(Comparativo!$O$6:$O$27,A21),Comparativo!$O$6:$O$27,0)),"")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MATCH($B$3,Planejado!$H$4:$O$4,0)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INDEX(Planejado!$H5:$O5,$D$3)</f>
        <v/>
      </c>
      <c r="G6" s="30">
        <f>INDEX(Realizado!$H5:$O5,$D$3)</f>
        <v/>
      </c>
      <c r="H6" s="30">
        <f>G6-F6</f>
        <v/>
      </c>
      <c r="I6" s="30">
        <f>SUMPRODUCT((COLUMN(Planejado!$H$4:$O$4)-COLUMN(Planejado!$H$4)+1&lt;=$D$3)*Planejado!$H5:$O5)</f>
        <v/>
      </c>
      <c r="J6" s="30">
        <f>SUMPRODUCT((COLUMN(Realizado!$H$4:$O$4)-COLUMN(Realizado!$H$4)+1&lt;=$D$3)*Realizado!$H5:$O5)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SUMPRODUCT((COLUMN(Realizado!$H$4:$O$4)-COLUMN(Realizado!$H$4)+1&lt;=$D$3)*(Realizado!$H5:$O5&lt;&gt;""))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INDEX(Planejado!$H6:$O6,$D$3)</f>
        <v/>
      </c>
      <c r="G7" s="30">
        <f>INDEX(Realizado!$H6:$O6,$D$3)</f>
        <v/>
      </c>
      <c r="H7" s="30">
        <f>G7-F7</f>
        <v/>
      </c>
      <c r="I7" s="30">
        <f>SUMPRODUCT((COLUMN(Planejado!$H$4:$O$4)-COLUMN(Planejado!$H$4)+1&lt;=$D$3)*Planejado!$H6:$O6)</f>
        <v/>
      </c>
      <c r="J7" s="30">
        <f>SUMPRODUCT((COLUMN(Realizado!$H$4:$O$4)-COLUMN(Realizado!$H$4)+1&lt;=$D$3)*Realizado!$H6:$O6)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SUMPRODUCT((COLUMN(Realizado!$H$4:$O$4)-COLUMN(Realizado!$H$4)+1&lt;=$D$3)*(Realizado!$H6:$O6&lt;&gt;""))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INDEX(Planejado!$H7:$O7,$D$3)</f>
        <v/>
      </c>
      <c r="G8" s="30">
        <f>INDEX(Realizado!$H7:$O7,$D$3)</f>
        <v/>
      </c>
      <c r="H8" s="30">
        <f>G8-F8</f>
        <v/>
      </c>
      <c r="I8" s="30">
        <f>SUMPRODUCT((COLUMN(Planejado!$H$4:$O$4)-COLUMN(Planejado!$H$4)+1&lt;=$D$3)*Planejado!$H7:$O7)</f>
        <v/>
      </c>
      <c r="J8" s="30">
        <f>SUMPRODUCT((COLUMN(Realizado!$H$4:$O$4)-COLUMN(Realizado!$H$4)+1&lt;=$D$3)*Realizado!$H7:$O7)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SUMPRODUCT((COLUMN(Realizado!$H$4:$O$4)-COLUMN(Realizado!$H$4)+1&lt;=$D$3)*(Realizado!$H7:$O7&lt;&gt;""))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INDEX(Planejado!$H8:$O8,$D$3)</f>
        <v/>
      </c>
      <c r="G9" s="30">
        <f>INDEX(Realizado!$H8:$O8,$D$3)</f>
        <v/>
      </c>
      <c r="H9" s="30">
        <f>G9-F9</f>
        <v/>
      </c>
      <c r="I9" s="30">
        <f>SUMPRODUCT((COLUMN(Planejado!$H$4:$O$4)-COLUMN(Planejado!$H$4)+1&lt;=$D$3)*Planejado!$H8:$O8)</f>
        <v/>
      </c>
      <c r="J9" s="30">
        <f>SUMPRODUCT((COLUMN(Realizado!$H$4:$O$4)-COLUMN(Realizado!$H$4)+1&lt;=$D$3)*Realizado!$H8:$O8)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SUMPRODUCT((COLUMN(Realizado!$H$4:$O$4)-COLUMN(Realizado!$H$4)+1&lt;=$D$3)*(Realizado!$H8:$O8&lt;&gt;""))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INDEX(Planejado!$H9:$O9,$D$3)</f>
        <v/>
      </c>
      <c r="G10" s="30">
        <f>INDEX(Realizado!$H9:$O9,$D$3)</f>
        <v/>
      </c>
      <c r="H10" s="30">
        <f>G10-F10</f>
        <v/>
      </c>
      <c r="I10" s="30">
        <f>SUMPRODUCT((COLUMN(Planejado!$H$4:$O$4)-COLUMN(Planejado!$H$4)+1&lt;=$D$3)*Planejado!$H9:$O9)</f>
        <v/>
      </c>
      <c r="J10" s="30">
        <f>SUMPRODUCT((COLUMN(Realizado!$H$4:$O$4)-COLUMN(Realizado!$H$4)+1&lt;=$D$3)*Realizado!$H9:$O9)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SUMPRODUCT((COLUMN(Realizado!$H$4:$O$4)-COLUMN(Realizado!$H$4)+1&lt;=$D$3)*(Realizado!$H9:$O9&lt;&gt;""))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INDEX(Planejado!$H10:$O10,$D$3)</f>
        <v/>
      </c>
      <c r="G11" s="30">
        <f>INDEX(Realizado!$H10:$O10,$D$3)</f>
        <v/>
      </c>
      <c r="H11" s="30">
        <f>G11-F11</f>
        <v/>
      </c>
      <c r="I11" s="30">
        <f>SUMPRODUCT((COLUMN(Planejado!$H$4:$O$4)-COLUMN(Planejado!$H$4)+1&lt;=$D$3)*Planejado!$H10:$O10)</f>
        <v/>
      </c>
      <c r="J11" s="30">
        <f>SUMPRODUCT((COLUMN(Realizado!$H$4:$O$4)-COLUMN(Realizado!$H$4)+1&lt;=$D$3)*Realizado!$H10:$O10)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SUMPRODUCT((COLUMN(Realizado!$H$4:$O$4)-COLUMN(Realizado!$H$4)+1&lt;=$D$3)*(Realizado!$H10:$O10&lt;&gt;""))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INDEX(Planejado!$H11:$O11,$D$3)</f>
        <v/>
      </c>
      <c r="G12" s="30">
        <f>INDEX(Realizado!$H11:$O11,$D$3)</f>
        <v/>
      </c>
      <c r="H12" s="30">
        <f>G12-F12</f>
        <v/>
      </c>
      <c r="I12" s="30">
        <f>SUMPRODUCT((COLUMN(Planejado!$H$4:$O$4)-COLUMN(Planejado!$H$4)+1&lt;=$D$3)*Planejado!$H11:$O11)</f>
        <v/>
      </c>
      <c r="J12" s="30">
        <f>SUMPRODUCT((COLUMN(Realizado!$H$4:$O$4)-COLUMN(Realizado!$H$4)+1&lt;=$D$3)*Realizado!$H11:$O11)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SUMPRODUCT((COLUMN(Realizado!$H$4:$O$4)-COLUMN(Realizado!$H$4)+1&lt;=$D$3)*(Realizado!$H11:$O11&lt;&gt;""))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INDEX(Planejado!$H12:$O12,$D$3)</f>
        <v/>
      </c>
      <c r="G13" s="30">
        <f>INDEX(Realizado!$H12:$O12,$D$3)</f>
        <v/>
      </c>
      <c r="H13" s="30">
        <f>G13-F13</f>
        <v/>
      </c>
      <c r="I13" s="30">
        <f>SUMPRODUCT((COLUMN(Planejado!$H$4:$O$4)-COLUMN(Planejado!$H$4)+1&lt;=$D$3)*Planejado!$H12:$O12)</f>
        <v/>
      </c>
      <c r="J13" s="30">
        <f>SUMPRODUCT((COLUMN(Realizado!$H$4:$O$4)-COLUMN(Realizado!$H$4)+1&lt;=$D$3)*Realizado!$H12:$O12)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SUMPRODUCT((COLUMN(Realizado!$H$4:$O$4)-COLUMN(Realizado!$H$4)+1&lt;=$D$3)*(Realizado!$H12:$O12&lt;&gt;""))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INDEX(Planejado!$H13:$O13,$D$3)</f>
        <v/>
      </c>
      <c r="G14" s="30">
        <f>INDEX(Realizado!$H13:$O13,$D$3)</f>
        <v/>
      </c>
      <c r="H14" s="30">
        <f>G14-F14</f>
        <v/>
      </c>
      <c r="I14" s="30">
        <f>SUMPRODUCT((COLUMN(Planejado!$H$4:$O$4)-COLUMN(Planejado!$H$4)+1&lt;=$D$3)*Planejado!$H13:$O13)</f>
        <v/>
      </c>
      <c r="J14" s="30">
        <f>SUMPRODUCT((COLUMN(Realizado!$H$4:$O$4)-COLUMN(Realizado!$H$4)+1&lt;=$D$3)*Realizado!$H13:$O13)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SUMPRODUCT((COLUMN(Realizado!$H$4:$O$4)-COLUMN(Realizado!$H$4)+1&lt;=$D$3)*(Realizado!$H13:$O13&lt;&gt;""))</f>
        <v/>
      </c>
    </row>
    <row r="15" ht="24" customHeight="1">
      <c r="A15" s="28">
        <f>Planejado!A14</f>
        <v/>
      </c>
      <c r="B15" s="28">
        <f>Planejado!B14</f>
        <v/>
      </c>
      <c r="C15" s="28">
        <f>Planejado!C14</f>
        <v/>
      </c>
      <c r="D15" s="29">
        <f>Planejado!D14</f>
        <v/>
      </c>
      <c r="E15" s="28">
        <f>Planejado!G14</f>
        <v/>
      </c>
      <c r="F15" s="30">
        <f>INDEX(Planejado!$H14:$O14,$D$3)</f>
        <v/>
      </c>
      <c r="G15" s="30">
        <f>INDEX(Realizado!$H14:$O14,$D$3)</f>
        <v/>
      </c>
      <c r="H15" s="30">
        <f>G15-F15</f>
        <v/>
      </c>
      <c r="I15" s="30">
        <f>SUMPRODUCT((COLUMN(Planejado!$H$4:$O$4)-COLUMN(Planejado!$H$4)+1&lt;=$D$3)*Planejado!$H14:$O14)</f>
        <v/>
      </c>
      <c r="J15" s="30">
        <f>SUMPRODUCT((COLUMN(Realizado!$H$4:$O$4)-COLUMN(Realizado!$H$4)+1&lt;=$D$3)*Realizado!$H14:$O14)</f>
        <v/>
      </c>
      <c r="K15" s="30">
        <f>J15-I15</f>
        <v/>
      </c>
      <c r="L15" s="31">
        <f>IFERROR(K15/I15,"")</f>
        <v/>
      </c>
      <c r="M15" s="31">
        <f>IFERROR(J15/I15,"")</f>
        <v/>
      </c>
      <c r="N15" s="32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3">
        <f>SUMPRODUCT((COLUMN(Realizado!$H$4:$O$4)-COLUMN(Realizado!$H$4)+1&lt;=$D$3)*(Realizado!$H14:$O14&lt;&gt;""))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INDEX(Planejado!$H15:$O15,$D$3)</f>
        <v/>
      </c>
      <c r="G16" s="36">
        <f>INDEX(Realizado!$H15:$O15,$D$3)</f>
        <v/>
      </c>
      <c r="H16" s="36">
        <f>G16-F16</f>
        <v/>
      </c>
      <c r="I16" s="36">
        <f>SUMPRODUCT((COLUMN(Planejado!$H$4:$O$4)-COLUMN(Planejado!$H$4)+1&lt;=$D$3)*Planejado!$H15:$O15)</f>
        <v/>
      </c>
      <c r="J16" s="36">
        <f>SUMPRODUCT((COLUMN(Realizado!$H$4:$O$4)-COLUMN(Realizado!$H$4)+1&lt;=$D$3)*Realizado!$H15:$O15)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SUMPRODUCT((COLUMN(Realizado!$H$4:$O$4)-COLUMN(Realizado!$H$4)+1&lt;=$D$3)*(Realizado!$H15:$O15&lt;&gt;""))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INDEX(Planejado!$H16:$O16,$D$3)</f>
        <v/>
      </c>
      <c r="G17" s="36">
        <f>INDEX(Realizado!$H16:$O16,$D$3)</f>
        <v/>
      </c>
      <c r="H17" s="36">
        <f>G17-F17</f>
        <v/>
      </c>
      <c r="I17" s="36">
        <f>SUMPRODUCT((COLUMN(Planejado!$H$4:$O$4)-COLUMN(Planejado!$H$4)+1&lt;=$D$3)*Planejado!$H16:$O16)</f>
        <v/>
      </c>
      <c r="J17" s="36">
        <f>SUMPRODUCT((COLUMN(Realizado!$H$4:$O$4)-COLUMN(Realizado!$H$4)+1&lt;=$D$3)*Realizado!$H16:$O16)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SUMPRODUCT((COLUMN(Realizado!$H$4:$O$4)-COLUMN(Realizado!$H$4)+1&lt;=$D$3)*(Realizado!$H16:$O16&lt;&gt;""))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INDEX(Planejado!$H17:$O17,$D$3)</f>
        <v/>
      </c>
      <c r="G18" s="36">
        <f>INDEX(Realizado!$H17:$O17,$D$3)</f>
        <v/>
      </c>
      <c r="H18" s="36">
        <f>G18-F18</f>
        <v/>
      </c>
      <c r="I18" s="36">
        <f>SUMPRODUCT((COLUMN(Planejado!$H$4:$O$4)-COLUMN(Planejado!$H$4)+1&lt;=$D$3)*Planejado!$H17:$O17)</f>
        <v/>
      </c>
      <c r="J18" s="36">
        <f>SUMPRODUCT((COLUMN(Realizado!$H$4:$O$4)-COLUMN(Realizado!$H$4)+1&lt;=$D$3)*Realizado!$H17:$O17)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SUMPRODUCT((COLUMN(Realizado!$H$4:$O$4)-COLUMN(Realizado!$H$4)+1&lt;=$D$3)*(Realizado!$H17:$O17&lt;&gt;""))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INDEX(Planejado!$H18:$O18,$D$3)</f>
        <v/>
      </c>
      <c r="G19" s="36">
        <f>INDEX(Realizado!$H18:$O18,$D$3)</f>
        <v/>
      </c>
      <c r="H19" s="36">
        <f>G19-F19</f>
        <v/>
      </c>
      <c r="I19" s="36">
        <f>SUMPRODUCT((COLUMN(Planejado!$H$4:$O$4)-COLUMN(Planejado!$H$4)+1&lt;=$D$3)*Planejado!$H18:$O18)</f>
        <v/>
      </c>
      <c r="J19" s="36">
        <f>SUMPRODUCT((COLUMN(Realizado!$H$4:$O$4)-COLUMN(Realizado!$H$4)+1&lt;=$D$3)*Realizado!$H18:$O18)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SUMPRODUCT((COLUMN(Realizado!$H$4:$O$4)-COLUMN(Realizado!$H$4)+1&lt;=$D$3)*(Realizado!$H18:$O18&lt;&gt;""))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INDEX(Planejado!$H19:$O19,$D$3)</f>
        <v/>
      </c>
      <c r="G20" s="36">
        <f>INDEX(Realizado!$H19:$O19,$D$3)</f>
        <v/>
      </c>
      <c r="H20" s="36">
        <f>G20-F20</f>
        <v/>
      </c>
      <c r="I20" s="36">
        <f>SUMPRODUCT((COLUMN(Planejado!$H$4:$O$4)-COLUMN(Planejado!$H$4)+1&lt;=$D$3)*Planejado!$H19:$O19)</f>
        <v/>
      </c>
      <c r="J20" s="36">
        <f>SUMPRODUCT((COLUMN(Realizado!$H$4:$O$4)-COLUMN(Realizado!$H$4)+1&lt;=$D$3)*Realizado!$H19:$O19)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SUMPRODUCT((COLUMN(Realizado!$H$4:$O$4)-COLUMN(Realizado!$H$4)+1&lt;=$D$3)*(Realizado!$H19:$O19&lt;&gt;""))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INDEX(Planejado!$H20:$O20,$D$3)</f>
        <v/>
      </c>
      <c r="G21" s="36">
        <f>INDEX(Realizado!$H20:$O20,$D$3)</f>
        <v/>
      </c>
      <c r="H21" s="36">
        <f>G21-F21</f>
        <v/>
      </c>
      <c r="I21" s="36">
        <f>SUMPRODUCT((COLUMN(Planejado!$H$4:$O$4)-COLUMN(Planejado!$H$4)+1&lt;=$D$3)*Planejado!$H20:$O20)</f>
        <v/>
      </c>
      <c r="J21" s="36">
        <f>SUMPRODUCT((COLUMN(Realizado!$H$4:$O$4)-COLUMN(Realizado!$H$4)+1&lt;=$D$3)*Realizado!$H20:$O20)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SUMPRODUCT((COLUMN(Realizado!$H$4:$O$4)-COLUMN(Realizado!$H$4)+1&lt;=$D$3)*(Realizado!$H20:$O20&lt;&gt;""))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INDEX(Planejado!$H21:$O21,$D$3)</f>
        <v/>
      </c>
      <c r="G22" s="36">
        <f>INDEX(Realizado!$H21:$O21,$D$3)</f>
        <v/>
      </c>
      <c r="H22" s="36">
        <f>G22-F22</f>
        <v/>
      </c>
      <c r="I22" s="36">
        <f>SUMPRODUCT((COLUMN(Planejado!$H$4:$O$4)-COLUMN(Planejado!$H$4)+1&lt;=$D$3)*Planejado!$H21:$O21)</f>
        <v/>
      </c>
      <c r="J22" s="36">
        <f>SUMPRODUCT((COLUMN(Realizado!$H$4:$O$4)-COLUMN(Realizado!$H$4)+1&lt;=$D$3)*Realizado!$H21:$O21)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SUMPRODUCT((COLUMN(Realizado!$H$4:$O$4)-COLUMN(Realizado!$H$4)+1&lt;=$D$3)*(Realizado!$H21:$O21&lt;&gt;""))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INDEX(Planejado!$H22:$O22,$D$3)</f>
        <v/>
      </c>
      <c r="G23" s="36">
        <f>INDEX(Realizado!$H22:$O22,$D$3)</f>
        <v/>
      </c>
      <c r="H23" s="36">
        <f>G23-F23</f>
        <v/>
      </c>
      <c r="I23" s="36">
        <f>SUMPRODUCT((COLUMN(Planejado!$H$4:$O$4)-COLUMN(Planejado!$H$4)+1&lt;=$D$3)*Planejado!$H22:$O22)</f>
        <v/>
      </c>
      <c r="J23" s="36">
        <f>SUMPRODUCT((COLUMN(Realizado!$H$4:$O$4)-COLUMN(Realizado!$H$4)+1&lt;=$D$3)*Realizado!$H22:$O22)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SUMPRODUCT((COLUMN(Realizado!$H$4:$O$4)-COLUMN(Realizado!$H$4)+1&lt;=$D$3)*(Realizado!$H22:$O22&lt;&gt;""))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INDEX(Planejado!$H23:$O23,$D$3)</f>
        <v/>
      </c>
      <c r="G24" s="36">
        <f>INDEX(Realizado!$H23:$O23,$D$3)</f>
        <v/>
      </c>
      <c r="H24" s="36">
        <f>G24-F24</f>
        <v/>
      </c>
      <c r="I24" s="36">
        <f>SUMPRODUCT((COLUMN(Planejado!$H$4:$O$4)-COLUMN(Planejado!$H$4)+1&lt;=$D$3)*Planejado!$H23:$O23)</f>
        <v/>
      </c>
      <c r="J24" s="36">
        <f>SUMPRODUCT((COLUMN(Realizado!$H$4:$O$4)-COLUMN(Realizado!$H$4)+1&lt;=$D$3)*Realizado!$H23:$O23)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SUMPRODUCT((COLUMN(Realizado!$H$4:$O$4)-COLUMN(Realizado!$H$4)+1&lt;=$D$3)*(Realizado!$H23:$O23&lt;&gt;""))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INDEX(Planejado!$H24:$O24,$D$3)</f>
        <v/>
      </c>
      <c r="G25" s="36">
        <f>INDEX(Realizado!$H24:$O24,$D$3)</f>
        <v/>
      </c>
      <c r="H25" s="36">
        <f>G25-F25</f>
        <v/>
      </c>
      <c r="I25" s="36">
        <f>SUMPRODUCT((COLUMN(Planejado!$H$4:$O$4)-COLUMN(Planejado!$H$4)+1&lt;=$D$3)*Planejado!$H24:$O24)</f>
        <v/>
      </c>
      <c r="J25" s="36">
        <f>SUMPRODUCT((COLUMN(Realizado!$H$4:$O$4)-COLUMN(Realizado!$H$4)+1&lt;=$D$3)*Realizado!$H24:$O24)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SUMPRODUCT((COLUMN(Realizado!$H$4:$O$4)-COLUMN(Realizado!$H$4)+1&lt;=$D$3)*(Realizado!$H24:$O24&lt;&gt;""))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INDEX(Planejado!$H25:$O25,$D$3)</f>
        <v/>
      </c>
      <c r="G26" s="36">
        <f>INDEX(Realizado!$H25:$O25,$D$3)</f>
        <v/>
      </c>
      <c r="H26" s="36">
        <f>G26-F26</f>
        <v/>
      </c>
      <c r="I26" s="36">
        <f>SUMPRODUCT((COLUMN(Planejado!$H$4:$O$4)-COLUMN(Planejado!$H$4)+1&lt;=$D$3)*Planejado!$H25:$O25)</f>
        <v/>
      </c>
      <c r="J26" s="36">
        <f>SUMPRODUCT((COLUMN(Realizado!$H$4:$O$4)-COLUMN(Realizado!$H$4)+1&lt;=$D$3)*Realizado!$H25:$O25)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SUMPRODUCT((COLUMN(Realizado!$H$4:$O$4)-COLUMN(Realizado!$H$4)+1&lt;=$D$3)*(Realizado!$H25:$O25&lt;&gt;""))</f>
        <v/>
      </c>
    </row>
    <row r="27" ht="24" customHeight="1">
      <c r="A27" s="34">
        <f>Planejado!A26</f>
        <v/>
      </c>
      <c r="B27" s="34">
        <f>Planejado!B26</f>
        <v/>
      </c>
      <c r="C27" s="34">
        <f>Planejado!C26</f>
        <v/>
      </c>
      <c r="D27" s="35">
        <f>Planejado!D26</f>
        <v/>
      </c>
      <c r="E27" s="34">
        <f>Planejado!G26</f>
        <v/>
      </c>
      <c r="F27" s="36">
        <f>INDEX(Planejado!$H26:$O26,$D$3)</f>
        <v/>
      </c>
      <c r="G27" s="36">
        <f>INDEX(Realizado!$H26:$O26,$D$3)</f>
        <v/>
      </c>
      <c r="H27" s="36">
        <f>G27-F27</f>
        <v/>
      </c>
      <c r="I27" s="36">
        <f>SUMPRODUCT((COLUMN(Planejado!$H$4:$O$4)-COLUMN(Planejado!$H$4)+1&lt;=$D$3)*Planejado!$H26:$O26)</f>
        <v/>
      </c>
      <c r="J27" s="36">
        <f>SUMPRODUCT((COLUMN(Realizado!$H$4:$O$4)-COLUMN(Realizado!$H$4)+1&lt;=$D$3)*Realizado!$H26:$O26)</f>
        <v/>
      </c>
      <c r="K27" s="36">
        <f>J27-I27</f>
        <v/>
      </c>
      <c r="L27" s="37">
        <f>IFERROR(K27/I27,"")</f>
        <v/>
      </c>
      <c r="M27" s="37">
        <f>IFERROR(J27/I27,"")</f>
        <v/>
      </c>
      <c r="N27" s="38">
        <f>IF(P27=0,"Sem lançamento",IF(AND(I27=0,J27=0),"—",IF(I27=0,"Não orçado",IF(K27&gt;0.05*I27,"Acima do orçado",IF(K27&lt;-0.05*I27,"Abaixo do orçado","Dentro do orçado")))))</f>
        <v/>
      </c>
      <c r="O27" s="27">
        <f>IF(K27&gt;1,K27+ROW()/1000000,"")</f>
        <v/>
      </c>
      <c r="P27" s="39">
        <f>SUMPRODUCT((COLUMN(Realizado!$H$4:$O$4)-COLUMN(Realizado!$H$4)+1&lt;=$D$3)*(Realizado!$H26:$O26&lt;&gt;""))</f>
        <v/>
      </c>
    </row>
    <row r="28">
      <c r="A28" s="15" t="inlineStr">
        <is>
          <t>TOTAL GERAL</t>
        </is>
      </c>
      <c r="B28" s="15" t="n"/>
      <c r="C28" s="15" t="n"/>
      <c r="D28" s="15" t="n"/>
      <c r="E28" s="15" t="n"/>
      <c r="F28" s="16">
        <f>SUM(F6:F27)</f>
        <v/>
      </c>
      <c r="G28" s="16">
        <f>SUM(G6:G27)</f>
        <v/>
      </c>
      <c r="H28" s="16">
        <f>SUM(H6:H27)</f>
        <v/>
      </c>
      <c r="I28" s="16">
        <f>SUM(I6:I27)</f>
        <v/>
      </c>
      <c r="J28" s="16">
        <f>SUM(J6:J27)</f>
        <v/>
      </c>
      <c r="K28" s="16">
        <f>SUM(K6:K27)</f>
        <v/>
      </c>
      <c r="L28" s="40">
        <f>IFERROR(K28/I28,"")</f>
        <v/>
      </c>
      <c r="M28" s="40">
        <f>IFERROR(J28/I28,"")</f>
        <v/>
      </c>
      <c r="N28" s="15" t="n"/>
    </row>
  </sheetData>
  <autoFilter ref="A5:N27"/>
  <mergeCells count="2">
    <mergeCell ref="A2:N2"/>
    <mergeCell ref="A1:N1"/>
  </mergeCells>
  <conditionalFormatting sqref="H6:H2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7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maio a dezembro/2026 (8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Mai/26</t>
        </is>
      </c>
      <c r="I4" s="6" t="inlineStr">
        <is>
          <t>Jun/26</t>
        </is>
      </c>
      <c r="J4" s="6" t="inlineStr">
        <is>
          <t>Jul/26</t>
        </is>
      </c>
      <c r="K4" s="6" t="inlineStr">
        <is>
          <t>Ago/26</t>
        </is>
      </c>
      <c r="L4" s="6" t="inlineStr">
        <is>
          <t>Set/26</t>
        </is>
      </c>
      <c r="M4" s="6" t="inlineStr">
        <is>
          <t>Out/26</t>
        </is>
      </c>
      <c r="N4" s="6" t="inlineStr">
        <is>
          <t>Nov/26</t>
        </is>
      </c>
      <c r="O4" s="6" t="inlineStr">
        <is>
          <t>Dez/26</t>
        </is>
      </c>
      <c r="P4" s="6" t="inlineStr">
        <is>
          <t>TOTAL 8 MESES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41">
        <f>SUM(H5:O5)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 — salário bruto</t>
        </is>
      </c>
      <c r="E6" s="29" t="inlineStr">
        <is>
          <t>Analista Administrativo</t>
        </is>
      </c>
      <c r="F6" s="28" t="inlineStr">
        <is>
          <t>CLT</t>
        </is>
      </c>
      <c r="G6" s="28" t="inlineStr">
        <is>
          <t>Pessoal - CLT</t>
        </is>
      </c>
      <c r="H6" s="30" t="n">
        <v>2886.91</v>
      </c>
      <c r="I6" s="30" t="n">
        <v>2886.91</v>
      </c>
      <c r="J6" s="30" t="n">
        <v>2886.91</v>
      </c>
      <c r="K6" s="30" t="n">
        <v>2886.91</v>
      </c>
      <c r="L6" s="30" t="n">
        <v>2886.91</v>
      </c>
      <c r="M6" s="30" t="n">
        <v>2886.91</v>
      </c>
      <c r="N6" s="30" t="n">
        <v>2886.91</v>
      </c>
      <c r="O6" s="30" t="n">
        <v>2886.91</v>
      </c>
      <c r="P6" s="41">
        <f>SUM(H6:O6)</f>
        <v/>
      </c>
    </row>
    <row r="7" ht="26" customHeight="1">
      <c r="A7" s="28" t="inlineStr">
        <is>
          <t>JUR-E02B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Geovanna — encargos e benefícios</t>
        </is>
      </c>
      <c r="E7" s="29" t="inlineStr">
        <is>
          <t>INSS patronal, FGTS, provisões de 13º e férias, benefícios — PREENCHER</t>
        </is>
      </c>
      <c r="F7" s="28" t="inlineStr">
        <is>
          <t>CLT</t>
        </is>
      </c>
      <c r="G7" s="28" t="inlineStr">
        <is>
          <t>Encargos e Benefícios - CLT</t>
        </is>
      </c>
      <c r="H7" s="30" t="n">
        <v>1938.605</v>
      </c>
      <c r="I7" s="30" t="n">
        <v>1938.605</v>
      </c>
      <c r="J7" s="30" t="n">
        <v>1938.605</v>
      </c>
      <c r="K7" s="30" t="n">
        <v>1938.605</v>
      </c>
      <c r="L7" s="30" t="n">
        <v>1938.605</v>
      </c>
      <c r="M7" s="30" t="n">
        <v>1938.605</v>
      </c>
      <c r="N7" s="30" t="n">
        <v>1938.605</v>
      </c>
      <c r="O7" s="30" t="n">
        <v>1938.605</v>
      </c>
      <c r="P7" s="41">
        <f>SUM(H7:O7)</f>
        <v/>
      </c>
    </row>
    <row r="8" ht="26" customHeight="1">
      <c r="A8" s="28" t="inlineStr">
        <is>
          <t>JUR-E03</t>
        </is>
      </c>
      <c r="B8" s="28" t="inlineStr">
        <is>
          <t>Jurídico</t>
        </is>
      </c>
      <c r="C8" s="28" t="inlineStr">
        <is>
          <t>Equipe</t>
        </is>
      </c>
      <c r="D8" s="29" t="inlineStr">
        <is>
          <t>Thamar Victória</t>
        </is>
      </c>
      <c r="E8" s="29" t="inlineStr">
        <is>
          <t>Advogada — reajuste permanente de R$ 5.000 para R$ 5.500 (revisado a partir de out/26)</t>
        </is>
      </c>
      <c r="F8" s="28" t="inlineStr">
        <is>
          <t>PJ</t>
        </is>
      </c>
      <c r="G8" s="28" t="inlineStr">
        <is>
          <t>Pessoal - PJ</t>
        </is>
      </c>
      <c r="H8" s="30" t="n">
        <v>5000</v>
      </c>
      <c r="I8" s="30" t="n">
        <v>5000</v>
      </c>
      <c r="J8" s="30" t="n">
        <v>5000</v>
      </c>
      <c r="K8" s="30" t="n">
        <v>5000</v>
      </c>
      <c r="L8" s="30" t="n">
        <v>5000</v>
      </c>
      <c r="M8" s="30" t="n">
        <v>5500</v>
      </c>
      <c r="N8" s="30" t="n">
        <v>5500</v>
      </c>
      <c r="O8" s="30" t="n">
        <v>5500</v>
      </c>
      <c r="P8" s="41">
        <f>SUM(H8:O8)</f>
        <v/>
      </c>
    </row>
    <row r="9" ht="26" customHeight="1">
      <c r="A9" s="28" t="inlineStr">
        <is>
          <t>JUR-D01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JUSFY</t>
        </is>
      </c>
      <c r="E9" s="29" t="inlineStr">
        <is>
          <t>Fase de teste com objetivo de eliminar o Astrea</t>
        </is>
      </c>
      <c r="F9" s="28" t="inlineStr"/>
      <c r="G9" s="28" t="inlineStr">
        <is>
          <t>Licenças de Softwares</t>
        </is>
      </c>
      <c r="H9" s="30" t="n">
        <v>100</v>
      </c>
      <c r="I9" s="30" t="n">
        <v>100</v>
      </c>
      <c r="J9" s="30" t="n">
        <v>100</v>
      </c>
      <c r="K9" s="30" t="n">
        <v>100</v>
      </c>
      <c r="L9" s="30" t="n">
        <v>100</v>
      </c>
      <c r="M9" s="30" t="n">
        <v>100</v>
      </c>
      <c r="N9" s="30" t="n">
        <v>100</v>
      </c>
      <c r="O9" s="30" t="n">
        <v>100</v>
      </c>
      <c r="P9" s="41">
        <f>SUM(H9:O9)</f>
        <v/>
      </c>
    </row>
    <row r="10" ht="26" customHeight="1">
      <c r="A10" s="28" t="inlineStr">
        <is>
          <t>JUR-D02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JUSBRASIL</t>
        </is>
      </c>
      <c r="E10" s="29" t="inlineStr"/>
      <c r="F10" s="28" t="inlineStr"/>
      <c r="G10" s="28" t="inlineStr">
        <is>
          <t>Licenças de Softwares</t>
        </is>
      </c>
      <c r="H10" s="30" t="n">
        <v>104.9</v>
      </c>
      <c r="I10" s="30" t="n">
        <v>104.9</v>
      </c>
      <c r="J10" s="30" t="n">
        <v>104.9</v>
      </c>
      <c r="K10" s="30" t="n">
        <v>104.9</v>
      </c>
      <c r="L10" s="30" t="n">
        <v>104.9</v>
      </c>
      <c r="M10" s="30" t="n">
        <v>104.9</v>
      </c>
      <c r="N10" s="30" t="n">
        <v>104.9</v>
      </c>
      <c r="O10" s="30" t="n">
        <v>104.9</v>
      </c>
      <c r="P10" s="41">
        <f>SUM(H10:O10)</f>
        <v/>
      </c>
    </row>
    <row r="11" ht="26" customHeight="1">
      <c r="A11" s="28" t="inlineStr">
        <is>
          <t>JUR-D03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ASTREA</t>
        </is>
      </c>
      <c r="E11" s="29" t="inlineStr">
        <is>
          <t>Previsto sair quando o Jusfy for homologado — definir mês de corte</t>
        </is>
      </c>
      <c r="F11" s="28" t="inlineStr"/>
      <c r="G11" s="28" t="inlineStr">
        <is>
          <t>Licenças de Softwares</t>
        </is>
      </c>
      <c r="H11" s="30" t="n">
        <v>112.07</v>
      </c>
      <c r="I11" s="30" t="n">
        <v>112.07</v>
      </c>
      <c r="J11" s="30" t="n">
        <v>112.07</v>
      </c>
      <c r="K11" s="30" t="n">
        <v>112.07</v>
      </c>
      <c r="L11" s="30" t="n">
        <v>112.07</v>
      </c>
      <c r="M11" s="30" t="n">
        <v>112.07</v>
      </c>
      <c r="N11" s="30" t="n">
        <v>112.07</v>
      </c>
      <c r="O11" s="30" t="n">
        <v>112.07</v>
      </c>
      <c r="P11" s="41">
        <f>SUM(H11:O11)</f>
        <v/>
      </c>
    </row>
    <row r="12" ht="26" customHeight="1">
      <c r="A12" s="28" t="inlineStr">
        <is>
          <t>JUR-D04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LEME</t>
        </is>
      </c>
      <c r="E12" s="29" t="inlineStr"/>
      <c r="F12" s="28" t="inlineStr"/>
      <c r="G12" s="28" t="inlineStr">
        <is>
          <t>Licenças de Softwares</t>
        </is>
      </c>
      <c r="H12" s="30" t="n">
        <v>1030</v>
      </c>
      <c r="I12" s="30" t="n">
        <v>1030</v>
      </c>
      <c r="J12" s="30" t="n">
        <v>1030</v>
      </c>
      <c r="K12" s="30" t="n">
        <v>1030</v>
      </c>
      <c r="L12" s="30" t="n">
        <v>1030</v>
      </c>
      <c r="M12" s="30" t="n">
        <v>1030</v>
      </c>
      <c r="N12" s="30" t="n">
        <v>1030</v>
      </c>
      <c r="O12" s="30" t="n">
        <v>1030</v>
      </c>
      <c r="P12" s="41">
        <f>SUM(H12:O12)</f>
        <v/>
      </c>
    </row>
    <row r="13" ht="26" customHeight="1">
      <c r="A13" s="28" t="inlineStr">
        <is>
          <t>JUR-D05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Cursos / Eventos / Network</t>
        </is>
      </c>
      <c r="E13" s="29" t="inlineStr"/>
      <c r="F13" s="28" t="inlineStr"/>
      <c r="G13" s="28" t="inlineStr">
        <is>
          <t>Custeio de Treinamento</t>
        </is>
      </c>
      <c r="H13" s="30" t="n">
        <v>1000</v>
      </c>
      <c r="I13" s="30" t="n">
        <v>1000</v>
      </c>
      <c r="J13" s="30" t="n">
        <v>1000</v>
      </c>
      <c r="K13" s="30" t="n">
        <v>1000</v>
      </c>
      <c r="L13" s="30" t="n">
        <v>1000</v>
      </c>
      <c r="M13" s="30" t="n">
        <v>1000</v>
      </c>
      <c r="N13" s="30" t="n">
        <v>1000</v>
      </c>
      <c r="O13" s="30" t="n">
        <v>1000</v>
      </c>
      <c r="P13" s="41">
        <f>SUM(H13:O13)</f>
        <v/>
      </c>
    </row>
    <row r="14" ht="26" customHeight="1">
      <c r="A14" s="28" t="inlineStr">
        <is>
          <t>JUR-D06</t>
        </is>
      </c>
      <c r="B14" s="28" t="inlineStr">
        <is>
          <t>Jurídico</t>
        </is>
      </c>
      <c r="C14" s="28" t="inlineStr">
        <is>
          <t>Despesas</t>
        </is>
      </c>
      <c r="D14" s="29" t="inlineStr">
        <is>
          <t>Bonificações trimestrais/semestrais do time</t>
        </is>
      </c>
      <c r="E14" s="29" t="inlineStr">
        <is>
          <t>Participação em projetos e atingimento de resultados</t>
        </is>
      </c>
      <c r="F14" s="28" t="inlineStr"/>
      <c r="G14" s="28" t="inlineStr">
        <is>
          <t>Prêmios</t>
        </is>
      </c>
      <c r="H14" s="30" t="n">
        <v>0</v>
      </c>
      <c r="I14" s="30" t="n">
        <v>0</v>
      </c>
      <c r="J14" s="30" t="n">
        <v>0</v>
      </c>
      <c r="K14" s="30" t="n">
        <v>10293.6</v>
      </c>
      <c r="L14" s="30" t="n">
        <v>0</v>
      </c>
      <c r="M14" s="30" t="n">
        <v>0</v>
      </c>
      <c r="N14" s="30" t="n">
        <v>0</v>
      </c>
      <c r="O14" s="30" t="n">
        <v>12867</v>
      </c>
      <c r="P14" s="41">
        <f>SUM(H14:O14)</f>
        <v/>
      </c>
    </row>
    <row r="15" ht="26" customHeight="1">
      <c r="A15" s="34" t="inlineStr">
        <is>
          <t>TI-E01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Vinicius Di Franco</t>
        </is>
      </c>
      <c r="E15" s="35" t="inlineStr">
        <is>
          <t>Analista Administrativo</t>
        </is>
      </c>
      <c r="F15" s="34" t="inlineStr">
        <is>
          <t>CLT</t>
        </is>
      </c>
      <c r="G15" s="34" t="inlineStr">
        <is>
          <t>Pessoal - CLT</t>
        </is>
      </c>
      <c r="H15" s="36" t="n">
        <v>5416.525</v>
      </c>
      <c r="I15" s="36" t="n">
        <v>5416.525</v>
      </c>
      <c r="J15" s="36" t="n">
        <v>5416.525</v>
      </c>
      <c r="K15" s="36" t="n">
        <v>5416.525</v>
      </c>
      <c r="L15" s="36" t="n">
        <v>5416.525</v>
      </c>
      <c r="M15" s="36" t="n">
        <v>5416.525</v>
      </c>
      <c r="N15" s="36" t="n">
        <v>5416.525</v>
      </c>
      <c r="O15" s="36" t="n">
        <v>5416.525</v>
      </c>
      <c r="P15" s="41">
        <f>SUM(H15:O15)</f>
        <v/>
      </c>
    </row>
    <row r="16" ht="26" customHeight="1">
      <c r="A16" s="34" t="inlineStr">
        <is>
          <t>TI-E02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Elias Benedito</t>
        </is>
      </c>
      <c r="E16" s="35" t="inlineStr">
        <is>
          <t>Suporte Técnico Terceirizado</t>
        </is>
      </c>
      <c r="F16" s="34" t="inlineStr">
        <is>
          <t>PJ</t>
        </is>
      </c>
      <c r="G16" s="34" t="inlineStr">
        <is>
          <t>Pessoal - PJ</t>
        </is>
      </c>
      <c r="H16" s="36" t="n">
        <v>1065</v>
      </c>
      <c r="I16" s="36" t="n">
        <v>1065</v>
      </c>
      <c r="J16" s="36" t="n">
        <v>1065</v>
      </c>
      <c r="K16" s="36" t="n">
        <v>1065</v>
      </c>
      <c r="L16" s="36" t="n">
        <v>1065</v>
      </c>
      <c r="M16" s="36" t="n">
        <v>1065</v>
      </c>
      <c r="N16" s="36" t="n">
        <v>1065</v>
      </c>
      <c r="O16" s="36" t="n">
        <v>1065</v>
      </c>
      <c r="P16" s="41">
        <f>SUM(H16:O16)</f>
        <v/>
      </c>
    </row>
    <row r="17" ht="26" customHeight="1">
      <c r="A17" s="34" t="inlineStr">
        <is>
          <t>TI-E03</t>
        </is>
      </c>
      <c r="B17" s="34" t="inlineStr">
        <is>
          <t>TI</t>
        </is>
      </c>
      <c r="C17" s="34" t="inlineStr">
        <is>
          <t>Equipe</t>
        </is>
      </c>
      <c r="D17" s="35" t="inlineStr">
        <is>
          <t>Jonathan</t>
        </is>
      </c>
      <c r="E17" s="35" t="inlineStr">
        <is>
          <t>Consultor</t>
        </is>
      </c>
      <c r="F17" s="34" t="inlineStr">
        <is>
          <t>PJ</t>
        </is>
      </c>
      <c r="G17" s="34" t="inlineStr">
        <is>
          <t>Pessoal - PJ</t>
        </is>
      </c>
      <c r="H17" s="36" t="n">
        <v>10000</v>
      </c>
      <c r="I17" s="36" t="n">
        <v>10000</v>
      </c>
      <c r="J17" s="36" t="n">
        <v>10000</v>
      </c>
      <c r="K17" s="36" t="n">
        <v>10000</v>
      </c>
      <c r="L17" s="36" t="n">
        <v>10000</v>
      </c>
      <c r="M17" s="36" t="n">
        <v>10000</v>
      </c>
      <c r="N17" s="36" t="n">
        <v>10000</v>
      </c>
      <c r="O17" s="36" t="n">
        <v>10000</v>
      </c>
      <c r="P17" s="41">
        <f>SUM(H17:O17)</f>
        <v/>
      </c>
    </row>
    <row r="18" ht="26" customHeight="1">
      <c r="A18" s="34" t="inlineStr">
        <is>
          <t>TI-D01</t>
        </is>
      </c>
      <c r="B18" s="34" t="inlineStr">
        <is>
          <t>TI</t>
        </is>
      </c>
      <c r="C18" s="34" t="inlineStr">
        <is>
          <t>Despesas</t>
        </is>
      </c>
      <c r="D18" s="35" t="inlineStr">
        <is>
          <t>Peças de Manutenção</t>
        </is>
      </c>
      <c r="E18" s="35" t="inlineStr">
        <is>
          <t>Tela, teclado, carcaça, mouses de reposição, carregadores etc.</t>
        </is>
      </c>
      <c r="F18" s="34" t="inlineStr"/>
      <c r="G18" s="34" t="inlineStr">
        <is>
          <t>Equipamentos Eletrônicos Diversos</t>
        </is>
      </c>
      <c r="H18" s="36" t="n">
        <v>810</v>
      </c>
      <c r="I18" s="36" t="n">
        <v>810</v>
      </c>
      <c r="J18" s="36" t="n">
        <v>810</v>
      </c>
      <c r="K18" s="36" t="n">
        <v>810</v>
      </c>
      <c r="L18" s="36" t="n">
        <v>810</v>
      </c>
      <c r="M18" s="36" t="n">
        <v>810</v>
      </c>
      <c r="N18" s="36" t="n">
        <v>810</v>
      </c>
      <c r="O18" s="36" t="n">
        <v>810</v>
      </c>
      <c r="P18" s="41">
        <f>SUM(H18:O18)</f>
        <v/>
      </c>
    </row>
    <row r="19" ht="26" customHeight="1">
      <c r="A19" s="34" t="inlineStr">
        <is>
          <t>TI-D02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Backup em Nuvem</t>
        </is>
      </c>
      <c r="E19" s="35" t="inlineStr">
        <is>
          <t>Serviço de backup em nuvem para servidor — RATEIO A DEFINIR</t>
        </is>
      </c>
      <c r="F19" s="34" t="inlineStr"/>
      <c r="G19" s="34" t="inlineStr">
        <is>
          <t>Licenças de Softwares</t>
        </is>
      </c>
      <c r="H19" s="36" t="n">
        <v>825</v>
      </c>
      <c r="I19" s="36" t="n">
        <v>825</v>
      </c>
      <c r="J19" s="36" t="n">
        <v>825</v>
      </c>
      <c r="K19" s="36" t="n">
        <v>825</v>
      </c>
      <c r="L19" s="36" t="n">
        <v>825</v>
      </c>
      <c r="M19" s="36" t="n">
        <v>825</v>
      </c>
      <c r="N19" s="36" t="n">
        <v>825</v>
      </c>
      <c r="O19" s="36" t="n">
        <v>825</v>
      </c>
      <c r="P19" s="41">
        <f>SUM(H19:O19)</f>
        <v/>
      </c>
    </row>
    <row r="20" ht="26" customHeight="1">
      <c r="A20" s="34" t="inlineStr">
        <is>
          <t>TI-D03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Inteligência Artificial (Adapta)</t>
        </is>
      </c>
      <c r="E20" s="35" t="inlineStr">
        <is>
          <t>Plataforma de IA para utilização de agentes — RATEIO A DEFINIR</t>
        </is>
      </c>
      <c r="F20" s="34" t="inlineStr"/>
      <c r="G20" s="34" t="inlineStr">
        <is>
          <t>Licenças de Softwares</t>
        </is>
      </c>
      <c r="H20" s="36" t="n">
        <v>1300</v>
      </c>
      <c r="I20" s="36" t="n">
        <v>1300</v>
      </c>
      <c r="J20" s="36" t="n">
        <v>1600</v>
      </c>
      <c r="K20" s="36" t="n">
        <v>1600</v>
      </c>
      <c r="L20" s="36" t="n">
        <v>1600</v>
      </c>
      <c r="M20" s="36" t="n">
        <v>1600</v>
      </c>
      <c r="N20" s="36" t="n">
        <v>1600</v>
      </c>
      <c r="O20" s="36" t="n">
        <v>1600</v>
      </c>
      <c r="P20" s="41">
        <f>SUM(H20:O20)</f>
        <v/>
      </c>
    </row>
    <row r="21" ht="26" customHeight="1">
      <c r="A21" s="34" t="inlineStr">
        <is>
          <t>TI-D04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Antivírus</t>
        </is>
      </c>
      <c r="E21" s="35" t="inlineStr">
        <is>
          <t>Proteção para equipamentos — RATEIO A DEFINIR</t>
        </is>
      </c>
      <c r="F21" s="34" t="inlineStr"/>
      <c r="G21" s="34" t="inlineStr">
        <is>
          <t>Licenças de Softwares</t>
        </is>
      </c>
      <c r="H21" s="36" t="n">
        <v>240</v>
      </c>
      <c r="I21" s="36" t="n">
        <v>240</v>
      </c>
      <c r="J21" s="36" t="n">
        <v>240</v>
      </c>
      <c r="K21" s="36" t="n">
        <v>240</v>
      </c>
      <c r="L21" s="36" t="n">
        <v>240</v>
      </c>
      <c r="M21" s="36" t="n">
        <v>240</v>
      </c>
      <c r="N21" s="36" t="n">
        <v>240</v>
      </c>
      <c r="O21" s="36" t="n">
        <v>240</v>
      </c>
      <c r="P21" s="41">
        <f>SUM(H21:O21)</f>
        <v/>
      </c>
    </row>
    <row r="22" ht="26" customHeight="1">
      <c r="A22" s="34" t="inlineStr">
        <is>
          <t>TI-D05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Pacote Office 365</t>
        </is>
      </c>
      <c r="E22" s="35" t="inlineStr">
        <is>
          <t>Licenças de software (conferir nº de licenças x usuários) — RATEIO A DEFINIR</t>
        </is>
      </c>
      <c r="F22" s="34" t="inlineStr"/>
      <c r="G22" s="34" t="inlineStr">
        <is>
          <t>Licenças de Softwares</t>
        </is>
      </c>
      <c r="H22" s="36" t="n">
        <v>375</v>
      </c>
      <c r="I22" s="36" t="n">
        <v>375</v>
      </c>
      <c r="J22" s="36" t="n">
        <v>375</v>
      </c>
      <c r="K22" s="36" t="n">
        <v>375</v>
      </c>
      <c r="L22" s="36" t="n">
        <v>375</v>
      </c>
      <c r="M22" s="36" t="n">
        <v>375</v>
      </c>
      <c r="N22" s="36" t="n">
        <v>375</v>
      </c>
      <c r="O22" s="36" t="n">
        <v>375</v>
      </c>
      <c r="P22" s="41">
        <f>SUM(H22:O22)</f>
        <v/>
      </c>
    </row>
    <row r="23" ht="26" customHeight="1">
      <c r="A23" s="34" t="inlineStr">
        <is>
          <t>TI-D06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Projeto Melhoria de Infraestrutura - Sala de Reunião</t>
        </is>
      </c>
      <c r="E23" s="35" t="inlineStr">
        <is>
          <t>Cadeiras, cafeteira, copos, canetas, blocos personalizados, câmeras, microfones etc.</t>
        </is>
      </c>
      <c r="F23" s="34" t="inlineStr"/>
      <c r="G23" s="34" t="inlineStr">
        <is>
          <t>Móveis e Utensílios</t>
        </is>
      </c>
      <c r="H23" s="36" t="n">
        <v>2800</v>
      </c>
      <c r="I23" s="36" t="n">
        <v>2800</v>
      </c>
      <c r="J23" s="36" t="n">
        <v>2800</v>
      </c>
      <c r="K23" s="36" t="n">
        <v>2800</v>
      </c>
      <c r="L23" s="36" t="n">
        <v>2800</v>
      </c>
      <c r="M23" s="36" t="n">
        <v>2800</v>
      </c>
      <c r="N23" s="36" t="n">
        <v>2800</v>
      </c>
      <c r="O23" s="36" t="n">
        <v>2800</v>
      </c>
      <c r="P23" s="41">
        <f>SUM(H23:O23)</f>
        <v/>
      </c>
    </row>
    <row r="24" ht="26" customHeight="1">
      <c r="A24" s="34" t="inlineStr">
        <is>
          <t>TI-D07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Cursos e Treinamentos</t>
        </is>
      </c>
      <c r="E24" s="35" t="inlineStr"/>
      <c r="F24" s="34" t="inlineStr"/>
      <c r="G24" s="34" t="inlineStr">
        <is>
          <t>Custeio de Treinamento</t>
        </is>
      </c>
      <c r="H24" s="36" t="n">
        <v>200</v>
      </c>
      <c r="I24" s="36" t="n">
        <v>200</v>
      </c>
      <c r="J24" s="36" t="n">
        <v>200</v>
      </c>
      <c r="K24" s="36" t="n">
        <v>200</v>
      </c>
      <c r="L24" s="36" t="n">
        <v>200</v>
      </c>
      <c r="M24" s="36" t="n">
        <v>200</v>
      </c>
      <c r="N24" s="36" t="n">
        <v>200</v>
      </c>
      <c r="O24" s="36" t="n">
        <v>200</v>
      </c>
      <c r="P24" s="41">
        <f>SUM(H24:O24)</f>
        <v/>
      </c>
    </row>
    <row r="25" ht="26" customHeight="1">
      <c r="A25" s="34" t="inlineStr">
        <is>
          <t>TI-D08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Aplicativo de Gravação de Reunião</t>
        </is>
      </c>
      <c r="E25" s="35" t="inlineStr"/>
      <c r="F25" s="34" t="inlineStr"/>
      <c r="G25" s="34" t="inlineStr">
        <is>
          <t>Licenças de Softwares</t>
        </is>
      </c>
      <c r="H25" s="36" t="n">
        <v>220</v>
      </c>
      <c r="I25" s="36" t="n">
        <v>220</v>
      </c>
      <c r="J25" s="36" t="n">
        <v>220</v>
      </c>
      <c r="K25" s="36" t="n">
        <v>220</v>
      </c>
      <c r="L25" s="36" t="n">
        <v>220</v>
      </c>
      <c r="M25" s="36" t="n">
        <v>220</v>
      </c>
      <c r="N25" s="36" t="n">
        <v>220</v>
      </c>
      <c r="O25" s="36" t="n">
        <v>220</v>
      </c>
      <c r="P25" s="41">
        <f>SUM(H25:O25)</f>
        <v/>
      </c>
    </row>
    <row r="26" ht="26" customHeight="1">
      <c r="A26" s="34" t="inlineStr">
        <is>
          <t>TI-D09</t>
        </is>
      </c>
      <c r="B26" s="34" t="inlineStr">
        <is>
          <t>TI</t>
        </is>
      </c>
      <c r="C26" s="34" t="inlineStr">
        <is>
          <t>Despesas</t>
        </is>
      </c>
      <c r="D26" s="35" t="inlineStr">
        <is>
          <t>Bonificação do time</t>
        </is>
      </c>
      <c r="E26" s="35" t="inlineStr">
        <is>
          <t>Cumprimento de prazos e participação em projetos</t>
        </is>
      </c>
      <c r="F26" s="34" t="inlineStr"/>
      <c r="G26" s="34" t="inlineStr">
        <is>
          <t>Prêmios</t>
        </is>
      </c>
      <c r="H26" s="36" t="n">
        <v>0</v>
      </c>
      <c r="I26" s="36" t="n">
        <v>0</v>
      </c>
      <c r="J26" s="36" t="n">
        <v>0</v>
      </c>
      <c r="K26" s="36" t="n">
        <v>2400</v>
      </c>
      <c r="L26" s="36" t="n">
        <v>0</v>
      </c>
      <c r="M26" s="36" t="n">
        <v>0</v>
      </c>
      <c r="N26" s="36" t="n">
        <v>0</v>
      </c>
      <c r="O26" s="36" t="n">
        <v>3600</v>
      </c>
      <c r="P26" s="41">
        <f>SUM(H26:O26)</f>
        <v/>
      </c>
    </row>
    <row r="27">
      <c r="A27" s="15" t="inlineStr">
        <is>
          <t>TOTAL GERAL</t>
        </is>
      </c>
      <c r="B27" s="15" t="n"/>
      <c r="C27" s="15" t="n"/>
      <c r="D27" s="15" t="n"/>
      <c r="E27" s="15" t="n"/>
      <c r="F27" s="15" t="n"/>
      <c r="G27" s="15" t="n"/>
      <c r="H27" s="16">
        <f>SUM(H5:H26)</f>
        <v/>
      </c>
      <c r="I27" s="16">
        <f>SUM(I5:I26)</f>
        <v/>
      </c>
      <c r="J27" s="16">
        <f>SUM(J5:J26)</f>
        <v/>
      </c>
      <c r="K27" s="16">
        <f>SUM(K5:K26)</f>
        <v/>
      </c>
      <c r="L27" s="16">
        <f>SUM(L5:L26)</f>
        <v/>
      </c>
      <c r="M27" s="16">
        <f>SUM(M5:M26)</f>
        <v/>
      </c>
      <c r="N27" s="16">
        <f>SUM(N5:N26)</f>
        <v/>
      </c>
      <c r="O27" s="16">
        <f>SUM(O5:O26)</f>
        <v/>
      </c>
      <c r="P27" s="16">
        <f>SUM(P5:P26)</f>
        <v/>
      </c>
    </row>
  </sheetData>
  <autoFilter ref="A4:P26"/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7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  <col width="22" customWidth="1" min="17" max="17"/>
    <col width="34" customWidth="1" min="18" max="18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Mai/26</t>
        </is>
      </c>
      <c r="I4" s="42" t="inlineStr">
        <is>
          <t>Jun/26</t>
        </is>
      </c>
      <c r="J4" s="42" t="inlineStr">
        <is>
          <t>Jul/26</t>
        </is>
      </c>
      <c r="K4" s="42" t="inlineStr">
        <is>
          <t>Ago/26</t>
        </is>
      </c>
      <c r="L4" s="42" t="inlineStr">
        <is>
          <t>Set/26</t>
        </is>
      </c>
      <c r="M4" s="42" t="inlineStr">
        <is>
          <t>Out/26</t>
        </is>
      </c>
      <c r="N4" s="42" t="inlineStr">
        <is>
          <t>Nov/26</t>
        </is>
      </c>
      <c r="O4" s="42" t="inlineStr">
        <is>
          <t>Dez/26</t>
        </is>
      </c>
      <c r="P4" s="42" t="inlineStr">
        <is>
          <t>TOTAL REALIZADO</t>
        </is>
      </c>
      <c r="Q4" s="42" t="inlineStr">
        <is>
          <t>Fonte do dado</t>
        </is>
      </c>
      <c r="R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/>
      <c r="L5" s="45" t="n"/>
      <c r="M5" s="45" t="n"/>
      <c r="N5" s="45" t="n"/>
      <c r="O5" s="45" t="n"/>
      <c r="P5" s="41">
        <f>SUM(H5:O5)</f>
        <v/>
      </c>
      <c r="Q5" s="46" t="inlineStr">
        <is>
          <t>Gestora, 05/08/26</t>
        </is>
      </c>
      <c r="R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>
        <v>2886.91</v>
      </c>
      <c r="I6" s="45" t="n">
        <v>2886.91</v>
      </c>
      <c r="J6" s="45" t="n">
        <v>2886.91</v>
      </c>
      <c r="K6" s="45" t="n"/>
      <c r="L6" s="45" t="n"/>
      <c r="M6" s="45" t="n"/>
      <c r="N6" s="45" t="n"/>
      <c r="O6" s="45" t="n"/>
      <c r="P6" s="41">
        <f>SUM(H6:O6)</f>
        <v/>
      </c>
      <c r="Q6" s="46" t="inlineStr">
        <is>
          <t>Gestora, 05/08/26</t>
        </is>
      </c>
      <c r="R6" s="46" t="inlineStr">
        <is>
          <t>Salário bruto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/>
      <c r="I7" s="45" t="n"/>
      <c r="J7" s="45" t="n"/>
      <c r="K7" s="45" t="n"/>
      <c r="L7" s="45" t="n"/>
      <c r="M7" s="45" t="n"/>
      <c r="N7" s="45" t="n"/>
      <c r="O7" s="45" t="n"/>
      <c r="P7" s="41">
        <f>SUM(H7:O7)</f>
        <v/>
      </c>
      <c r="Q7" s="46" t="n"/>
      <c r="R7" s="46" t="inlineStr">
        <is>
          <t>PREENCHER — encargos e benefícios sobre o bruto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5500</v>
      </c>
      <c r="I8" s="45" t="n">
        <v>5500</v>
      </c>
      <c r="J8" s="45" t="n">
        <v>5500</v>
      </c>
      <c r="K8" s="45" t="n"/>
      <c r="L8" s="45" t="n"/>
      <c r="M8" s="45" t="n"/>
      <c r="N8" s="45" t="n"/>
      <c r="O8" s="45" t="n"/>
      <c r="P8" s="41">
        <f>SUM(H8:O8)</f>
        <v/>
      </c>
      <c r="Q8" s="46" t="inlineStr">
        <is>
          <t>Gestora, 05/08/26</t>
        </is>
      </c>
      <c r="R8" s="46" t="inlineStr">
        <is>
          <t>Reajuste permanente aplicado desde mai/26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0</v>
      </c>
      <c r="I9" s="45" t="n">
        <v>0</v>
      </c>
      <c r="J9" s="45" t="n">
        <v>0</v>
      </c>
      <c r="K9" s="45" t="n"/>
      <c r="L9" s="45" t="n"/>
      <c r="M9" s="45" t="n"/>
      <c r="N9" s="45" t="n"/>
      <c r="O9" s="45" t="n"/>
      <c r="P9" s="41">
        <f>SUM(H9:O9)</f>
        <v/>
      </c>
      <c r="Q9" s="46" t="inlineStr">
        <is>
          <t>Gestora, 05/08/26</t>
        </is>
      </c>
      <c r="R9" s="46" t="inlineStr">
        <is>
          <t>Ainda não iniciado — sem cobrança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136</v>
      </c>
      <c r="I10" s="45" t="n">
        <v>136</v>
      </c>
      <c r="J10" s="45" t="n">
        <v>136</v>
      </c>
      <c r="K10" s="45" t="n"/>
      <c r="L10" s="45" t="n"/>
      <c r="M10" s="45" t="n"/>
      <c r="N10" s="45" t="n"/>
      <c r="O10" s="45" t="n"/>
      <c r="P10" s="41">
        <f>SUM(H10:O10)</f>
        <v/>
      </c>
      <c r="Q10" s="46" t="inlineStr">
        <is>
          <t>Gestora, 05/08/26</t>
        </is>
      </c>
      <c r="R10" s="46" t="inlineStr">
        <is>
          <t>Acima do orçado (R$ 104,90) — conferir contrato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0</v>
      </c>
      <c r="I11" s="45" t="n">
        <v>0</v>
      </c>
      <c r="J11" s="45" t="n">
        <v>0</v>
      </c>
      <c r="K11" s="45" t="n"/>
      <c r="L11" s="45" t="n"/>
      <c r="M11" s="45" t="n"/>
      <c r="N11" s="45" t="n"/>
      <c r="O11" s="45" t="n"/>
      <c r="P11" s="41">
        <f>SUM(H11:O11)</f>
        <v/>
      </c>
      <c r="Q11" s="46" t="inlineStr">
        <is>
          <t>Gestora, 05/08/26</t>
        </is>
      </c>
      <c r="R11" s="46" t="inlineStr">
        <is>
          <t>Cancelado — sem cobrança</t>
        </is>
      </c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970</v>
      </c>
      <c r="I12" s="45" t="n">
        <v>970</v>
      </c>
      <c r="J12" s="45" t="n">
        <v>970</v>
      </c>
      <c r="K12" s="45" t="n"/>
      <c r="L12" s="45" t="n"/>
      <c r="M12" s="45" t="n"/>
      <c r="N12" s="45" t="n"/>
      <c r="O12" s="45" t="n"/>
      <c r="P12" s="41">
        <f>SUM(H12:O12)</f>
        <v/>
      </c>
      <c r="Q12" s="46" t="inlineStr">
        <is>
          <t>Gestora, 05/08/26</t>
        </is>
      </c>
      <c r="R12" s="46" t="n"/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/>
      <c r="L13" s="45" t="n"/>
      <c r="M13" s="45" t="n"/>
      <c r="N13" s="45" t="n"/>
      <c r="O13" s="45" t="n"/>
      <c r="P13" s="41">
        <f>SUM(H13:O13)</f>
        <v/>
      </c>
      <c r="Q13" s="46" t="inlineStr">
        <is>
          <t>Gestora, 05/08/26</t>
        </is>
      </c>
      <c r="R13" s="46" t="inlineStr">
        <is>
          <t>Sem gasto no período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P14" s="41">
        <f>SUM(H14:O14)</f>
        <v/>
      </c>
      <c r="Q14" s="46" t="n"/>
      <c r="R14" s="46" t="inlineStr">
        <is>
          <t>Bonificação de ago/26 a confirmar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/>
      <c r="I15" s="45" t="n"/>
      <c r="J15" s="45" t="n"/>
      <c r="K15" s="45" t="n"/>
      <c r="L15" s="45" t="n"/>
      <c r="M15" s="45" t="n"/>
      <c r="N15" s="45" t="n"/>
      <c r="O15" s="45" t="n"/>
      <c r="P15" s="41">
        <f>SUM(H15:O15)</f>
        <v/>
      </c>
      <c r="Q15" s="46" t="n"/>
      <c r="R15" s="46" t="n"/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/>
      <c r="I16" s="45" t="n"/>
      <c r="J16" s="45" t="n"/>
      <c r="K16" s="45" t="n"/>
      <c r="L16" s="45" t="n"/>
      <c r="M16" s="45" t="n"/>
      <c r="N16" s="45" t="n"/>
      <c r="O16" s="45" t="n"/>
      <c r="P16" s="41">
        <f>SUM(H16:O16)</f>
        <v/>
      </c>
      <c r="Q16" s="46" t="n"/>
      <c r="R16" s="46" t="n"/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/>
      <c r="M17" s="45" t="n"/>
      <c r="N17" s="45" t="n"/>
      <c r="O17" s="45" t="n"/>
      <c r="P17" s="41">
        <f>SUM(H17:O17)</f>
        <v/>
      </c>
      <c r="Q17" s="46" t="n"/>
      <c r="R17" s="46" t="n"/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/>
      <c r="M18" s="45" t="n"/>
      <c r="N18" s="45" t="n"/>
      <c r="O18" s="45" t="n"/>
      <c r="P18" s="41">
        <f>SUM(H18:O18)</f>
        <v/>
      </c>
      <c r="Q18" s="46" t="n"/>
      <c r="R18" s="46" t="n"/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P19" s="41">
        <f>SUM(H19:O19)</f>
        <v/>
      </c>
      <c r="Q19" s="46" t="n"/>
      <c r="R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P20" s="41">
        <f>SUM(H20:O20)</f>
        <v/>
      </c>
      <c r="Q20" s="46" t="n"/>
      <c r="R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P21" s="41">
        <f>SUM(H21:O21)</f>
        <v/>
      </c>
      <c r="Q21" s="46" t="n"/>
      <c r="R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P22" s="41">
        <f>SUM(H22:O22)</f>
        <v/>
      </c>
      <c r="Q22" s="46" t="n"/>
      <c r="R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P23" s="41">
        <f>SUM(H23:O23)</f>
        <v/>
      </c>
      <c r="Q23" s="46" t="n"/>
      <c r="R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P24" s="41">
        <f>SUM(H24:O24)</f>
        <v/>
      </c>
      <c r="Q24" s="46" t="n"/>
      <c r="R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P25" s="41">
        <f>SUM(H25:O25)</f>
        <v/>
      </c>
      <c r="Q25" s="46" t="n"/>
      <c r="R25" s="46" t="n"/>
    </row>
    <row r="26" ht="26" customHeight="1">
      <c r="A26" s="43">
        <f>Planejado!A26</f>
        <v/>
      </c>
      <c r="B26" s="43">
        <f>Planejado!B26</f>
        <v/>
      </c>
      <c r="C26" s="43">
        <f>Planejado!C26</f>
        <v/>
      </c>
      <c r="D26" s="44">
        <f>Planejado!D26</f>
        <v/>
      </c>
      <c r="E26" s="44">
        <f>Planejado!E26</f>
        <v/>
      </c>
      <c r="F26" s="43">
        <f>Planejado!F26</f>
        <v/>
      </c>
      <c r="G26" s="43">
        <f>Planejado!G26</f>
        <v/>
      </c>
      <c r="H26" s="45" t="n"/>
      <c r="I26" s="45" t="n"/>
      <c r="J26" s="45" t="n"/>
      <c r="K26" s="45" t="n"/>
      <c r="L26" s="45" t="n"/>
      <c r="M26" s="45" t="n"/>
      <c r="N26" s="45" t="n"/>
      <c r="O26" s="45" t="n"/>
      <c r="P26" s="41">
        <f>SUM(H26:O26)</f>
        <v/>
      </c>
      <c r="Q26" s="46" t="n"/>
      <c r="R26" s="46" t="n"/>
    </row>
    <row r="27">
      <c r="A27" s="47" t="inlineStr">
        <is>
          <t>TOTAL GERAL</t>
        </is>
      </c>
      <c r="B27" s="47" t="n"/>
      <c r="C27" s="47" t="n"/>
      <c r="D27" s="47" t="n"/>
      <c r="E27" s="47" t="n"/>
      <c r="F27" s="47" t="n"/>
      <c r="G27" s="47" t="n"/>
      <c r="H27" s="48">
        <f>SUM(H5:H26)</f>
        <v/>
      </c>
      <c r="I27" s="48">
        <f>SUM(I5:I26)</f>
        <v/>
      </c>
      <c r="J27" s="48">
        <f>SUM(J5:J26)</f>
        <v/>
      </c>
      <c r="K27" s="48">
        <f>SUM(K5:K26)</f>
        <v/>
      </c>
      <c r="L27" s="48">
        <f>SUM(L5:L26)</f>
        <v/>
      </c>
      <c r="M27" s="48">
        <f>SUM(M5:M26)</f>
        <v/>
      </c>
      <c r="N27" s="48">
        <f>SUM(N5:N26)</f>
        <v/>
      </c>
      <c r="O27" s="48">
        <f>SUM(O5:O26)</f>
        <v/>
      </c>
      <c r="P27" s="48">
        <f>SUM(P5:P26)</f>
        <v/>
      </c>
      <c r="Q27" s="47" t="n"/>
      <c r="R27" s="47" t="n"/>
    </row>
  </sheetData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Mai/26</t>
        </is>
      </c>
      <c r="B5" s="30">
        <f>SUMIFS(Planejado!$H$5:$H$26,Planejado!$B$5:$B$26,"Jurídico")</f>
        <v/>
      </c>
      <c r="C5" s="30">
        <f>SUMIFS(Realizado!$H$5:$H$26,Realizado!$B$5:$B$26,"Jurídico")</f>
        <v/>
      </c>
      <c r="D5" s="30">
        <f>SUMIFS(Planejado!$H$5:$H$26,Planejado!$B$5:$B$26,"TI")</f>
        <v/>
      </c>
      <c r="E5" s="30">
        <f>SUMIFS(Realizado!$H$5:$H$26,Realizado!$B$5:$B$26,"TI")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Jun/26</t>
        </is>
      </c>
      <c r="B6" s="36">
        <f>SUMIFS(Planejado!$I$5:$I$26,Planejado!$B$5:$B$26,"Jurídico")</f>
        <v/>
      </c>
      <c r="C6" s="36">
        <f>SUMIFS(Realizado!$I$5:$I$26,Realizado!$B$5:$B$26,"Jurídico")</f>
        <v/>
      </c>
      <c r="D6" s="36">
        <f>SUMIFS(Planejado!$I$5:$I$26,Planejado!$B$5:$B$26,"TI")</f>
        <v/>
      </c>
      <c r="E6" s="36">
        <f>SUMIFS(Realizado!$I$5:$I$26,Realizado!$B$5:$B$26,"TI")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Jul/26</t>
        </is>
      </c>
      <c r="B7" s="30">
        <f>SUMIFS(Planejado!$J$5:$J$26,Planejado!$B$5:$B$26,"Jurídico")</f>
        <v/>
      </c>
      <c r="C7" s="30">
        <f>SUMIFS(Realizado!$J$5:$J$26,Realizado!$B$5:$B$26,"Jurídico")</f>
        <v/>
      </c>
      <c r="D7" s="30">
        <f>SUMIFS(Planejado!$J$5:$J$26,Planejado!$B$5:$B$26,"TI")</f>
        <v/>
      </c>
      <c r="E7" s="30">
        <f>SUMIFS(Realizado!$J$5:$J$26,Realizado!$B$5:$B$26,"TI")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Ago/26</t>
        </is>
      </c>
      <c r="B8" s="36">
        <f>SUMIFS(Planejado!$K$5:$K$26,Planejado!$B$5:$B$26,"Jurídico")</f>
        <v/>
      </c>
      <c r="C8" s="36">
        <f>SUMIFS(Realizado!$K$5:$K$26,Realizado!$B$5:$B$26,"Jurídico")</f>
        <v/>
      </c>
      <c r="D8" s="36">
        <f>SUMIFS(Planejado!$K$5:$K$26,Planejado!$B$5:$B$26,"TI")</f>
        <v/>
      </c>
      <c r="E8" s="36">
        <f>SUMIFS(Realizado!$K$5:$K$26,Realizado!$B$5:$B$26,"TI")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Set/26</t>
        </is>
      </c>
      <c r="B9" s="30">
        <f>SUMIFS(Planejado!$L$5:$L$26,Planejado!$B$5:$B$26,"Jurídico")</f>
        <v/>
      </c>
      <c r="C9" s="30">
        <f>SUMIFS(Realizado!$L$5:$L$26,Realizado!$B$5:$B$26,"Jurídico")</f>
        <v/>
      </c>
      <c r="D9" s="30">
        <f>SUMIFS(Planejado!$L$5:$L$26,Planejado!$B$5:$B$26,"TI")</f>
        <v/>
      </c>
      <c r="E9" s="30">
        <f>SUMIFS(Realizado!$L$5:$L$26,Realizado!$B$5:$B$26,"TI")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Out/26</t>
        </is>
      </c>
      <c r="B10" s="36">
        <f>SUMIFS(Planejado!$M$5:$M$26,Planejado!$B$5:$B$26,"Jurídico")</f>
        <v/>
      </c>
      <c r="C10" s="36">
        <f>SUMIFS(Realizado!$M$5:$M$26,Realizado!$B$5:$B$26,"Jurídico")</f>
        <v/>
      </c>
      <c r="D10" s="36">
        <f>SUMIFS(Planejado!$M$5:$M$26,Planejado!$B$5:$B$26,"TI")</f>
        <v/>
      </c>
      <c r="E10" s="36">
        <f>SUMIFS(Realizado!$M$5:$M$26,Realizado!$B$5:$B$26,"TI")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Nov/26</t>
        </is>
      </c>
      <c r="B11" s="30">
        <f>SUMIFS(Planejado!$N$5:$N$26,Planejado!$B$5:$B$26,"Jurídico")</f>
        <v/>
      </c>
      <c r="C11" s="30">
        <f>SUMIFS(Realizado!$N$5:$N$26,Realizado!$B$5:$B$26,"Jurídico")</f>
        <v/>
      </c>
      <c r="D11" s="30">
        <f>SUMIFS(Planejado!$N$5:$N$26,Planejado!$B$5:$B$26,"TI")</f>
        <v/>
      </c>
      <c r="E11" s="30">
        <f>SUMIFS(Realizado!$N$5:$N$26,Realizado!$B$5:$B$26,"TI")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Dez/26</t>
        </is>
      </c>
      <c r="B12" s="36">
        <f>SUMIFS(Planejado!$O$5:$O$26,Planejado!$B$5:$B$26,"Jurídico")</f>
        <v/>
      </c>
      <c r="C12" s="36">
        <f>SUMIFS(Realizado!$O$5:$O$26,Realizado!$B$5:$B$26,"Jurídico")</f>
        <v/>
      </c>
      <c r="D12" s="36">
        <f>SUMIFS(Planejado!$O$5:$O$26,Planejado!$B$5:$B$26,"TI")</f>
        <v/>
      </c>
      <c r="E12" s="36">
        <f>SUMIFS(Realizado!$O$5:$O$26,Realizado!$B$5:$B$26,"TI")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5" t="n"/>
      <c r="J13" s="15" t="n"/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6" customWidth="1" min="8" max="8"/>
    <col width="12" customWidth="1" min="9" max="9"/>
    <col width="16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8 meses</t>
        </is>
      </c>
    </row>
    <row r="5" ht="20" customHeight="1">
      <c r="A5" s="51" t="inlineStr">
        <is>
          <t>Pessoal - CLT</t>
        </is>
      </c>
      <c r="B5" s="30">
        <f>SUMIFS(Comparativo!$I$6:$I$27,Comparativo!$E$6:$E$27,$A5,Comparativo!$B$6:$B$27,"Jurídico")</f>
        <v/>
      </c>
      <c r="C5" s="30">
        <f>SUMIFS(Comparativo!$J$6:$J$27,Comparativo!$E$6:$E$27,$A5,Comparativo!$B$6:$B$27,"Jurídico")</f>
        <v/>
      </c>
      <c r="D5" s="30">
        <f>SUMIFS(Comparativo!$I$6:$I$27,Comparativo!$E$6:$E$27,$A5,Comparativo!$B$6:$B$27,"TI")</f>
        <v/>
      </c>
      <c r="E5" s="30">
        <f>SUMIFS(Comparativo!$J$6:$J$27,Comparativo!$E$6:$E$27,$A5,Comparativo!$B$6:$B$27,"TI")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SUMIFS(Planejado!$P$5:$P$26,Planejado!$G$5:$G$26,$A5)</f>
        <v/>
      </c>
    </row>
    <row r="6" ht="20" customHeight="1">
      <c r="A6" s="53" t="inlineStr">
        <is>
          <t>Encargos e Benefícios - CLT</t>
        </is>
      </c>
      <c r="B6" s="36">
        <f>SUMIFS(Comparativo!$I$6:$I$27,Comparativo!$E$6:$E$27,$A6,Comparativo!$B$6:$B$27,"Jurídico")</f>
        <v/>
      </c>
      <c r="C6" s="36">
        <f>SUMIFS(Comparativo!$J$6:$J$27,Comparativo!$E$6:$E$27,$A6,Comparativo!$B$6:$B$27,"Jurídico")</f>
        <v/>
      </c>
      <c r="D6" s="36">
        <f>SUMIFS(Comparativo!$I$6:$I$27,Comparativo!$E$6:$E$27,$A6,Comparativo!$B$6:$B$27,"TI")</f>
        <v/>
      </c>
      <c r="E6" s="36">
        <f>SUMIFS(Comparativo!$J$6:$J$27,Comparativo!$E$6:$E$27,$A6,Comparativo!$B$6:$B$27,"TI")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SUMIFS(Planejado!$P$5:$P$26,Planejado!$G$5:$G$26,$A6)</f>
        <v/>
      </c>
    </row>
    <row r="7" ht="20" customHeight="1">
      <c r="A7" s="51" t="inlineStr">
        <is>
          <t>Pessoal - PJ</t>
        </is>
      </c>
      <c r="B7" s="30">
        <f>SUMIFS(Comparativo!$I$6:$I$27,Comparativo!$E$6:$E$27,$A7,Comparativo!$B$6:$B$27,"Jurídico")</f>
        <v/>
      </c>
      <c r="C7" s="30">
        <f>SUMIFS(Comparativo!$J$6:$J$27,Comparativo!$E$6:$E$27,$A7,Comparativo!$B$6:$B$27,"Jurídico")</f>
        <v/>
      </c>
      <c r="D7" s="30">
        <f>SUMIFS(Comparativo!$I$6:$I$27,Comparativo!$E$6:$E$27,$A7,Comparativo!$B$6:$B$27,"TI")</f>
        <v/>
      </c>
      <c r="E7" s="30">
        <f>SUMIFS(Comparativo!$J$6:$J$27,Comparativo!$E$6:$E$27,$A7,Comparativo!$B$6:$B$27,"TI")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SUMIFS(Planejado!$P$5:$P$26,Planejado!$G$5:$G$26,$A7)</f>
        <v/>
      </c>
    </row>
    <row r="8" ht="20" customHeight="1">
      <c r="A8" s="53" t="inlineStr">
        <is>
          <t>Licenças de Softwares</t>
        </is>
      </c>
      <c r="B8" s="36">
        <f>SUMIFS(Comparativo!$I$6:$I$27,Comparativo!$E$6:$E$27,$A8,Comparativo!$B$6:$B$27,"Jurídico")</f>
        <v/>
      </c>
      <c r="C8" s="36">
        <f>SUMIFS(Comparativo!$J$6:$J$27,Comparativo!$E$6:$E$27,$A8,Comparativo!$B$6:$B$27,"Jurídico")</f>
        <v/>
      </c>
      <c r="D8" s="36">
        <f>SUMIFS(Comparativo!$I$6:$I$27,Comparativo!$E$6:$E$27,$A8,Comparativo!$B$6:$B$27,"TI")</f>
        <v/>
      </c>
      <c r="E8" s="36">
        <f>SUMIFS(Comparativo!$J$6:$J$27,Comparativo!$E$6:$E$27,$A8,Comparativo!$B$6:$B$27,"TI")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SUMIFS(Planejado!$P$5:$P$26,Planejado!$G$5:$G$26,$A8)</f>
        <v/>
      </c>
    </row>
    <row r="9" ht="20" customHeight="1">
      <c r="A9" s="51" t="inlineStr">
        <is>
          <t>Custeio de Treinamento</t>
        </is>
      </c>
      <c r="B9" s="30">
        <f>SUMIFS(Comparativo!$I$6:$I$27,Comparativo!$E$6:$E$27,$A9,Comparativo!$B$6:$B$27,"Jurídico")</f>
        <v/>
      </c>
      <c r="C9" s="30">
        <f>SUMIFS(Comparativo!$J$6:$J$27,Comparativo!$E$6:$E$27,$A9,Comparativo!$B$6:$B$27,"Jurídico")</f>
        <v/>
      </c>
      <c r="D9" s="30">
        <f>SUMIFS(Comparativo!$I$6:$I$27,Comparativo!$E$6:$E$27,$A9,Comparativo!$B$6:$B$27,"TI")</f>
        <v/>
      </c>
      <c r="E9" s="30">
        <f>SUMIFS(Comparativo!$J$6:$J$27,Comparativo!$E$6:$E$27,$A9,Comparativo!$B$6:$B$27,"TI")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SUMIFS(Planejado!$P$5:$P$26,Planejado!$G$5:$G$26,$A9)</f>
        <v/>
      </c>
    </row>
    <row r="10" ht="20" customHeight="1">
      <c r="A10" s="53" t="inlineStr">
        <is>
          <t>Prêmios</t>
        </is>
      </c>
      <c r="B10" s="36">
        <f>SUMIFS(Comparativo!$I$6:$I$27,Comparativo!$E$6:$E$27,$A10,Comparativo!$B$6:$B$27,"Jurídico")</f>
        <v/>
      </c>
      <c r="C10" s="36">
        <f>SUMIFS(Comparativo!$J$6:$J$27,Comparativo!$E$6:$E$27,$A10,Comparativo!$B$6:$B$27,"Jurídico")</f>
        <v/>
      </c>
      <c r="D10" s="36">
        <f>SUMIFS(Comparativo!$I$6:$I$27,Comparativo!$E$6:$E$27,$A10,Comparativo!$B$6:$B$27,"TI")</f>
        <v/>
      </c>
      <c r="E10" s="36">
        <f>SUMIFS(Comparativo!$J$6:$J$27,Comparativo!$E$6:$E$27,$A10,Comparativo!$B$6:$B$27,"TI")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SUMIFS(Planejado!$P$5:$P$26,Planejado!$G$5:$G$26,$A10)</f>
        <v/>
      </c>
    </row>
    <row r="11" ht="20" customHeight="1">
      <c r="A11" s="51" t="inlineStr">
        <is>
          <t>Equipamentos Eletrônicos Diversos</t>
        </is>
      </c>
      <c r="B11" s="30">
        <f>SUMIFS(Comparativo!$I$6:$I$27,Comparativo!$E$6:$E$27,$A11,Comparativo!$B$6:$B$27,"Jurídico")</f>
        <v/>
      </c>
      <c r="C11" s="30">
        <f>SUMIFS(Comparativo!$J$6:$J$27,Comparativo!$E$6:$E$27,$A11,Comparativo!$B$6:$B$27,"Jurídico")</f>
        <v/>
      </c>
      <c r="D11" s="30">
        <f>SUMIFS(Comparativo!$I$6:$I$27,Comparativo!$E$6:$E$27,$A11,Comparativo!$B$6:$B$27,"TI")</f>
        <v/>
      </c>
      <c r="E11" s="30">
        <f>SUMIFS(Comparativo!$J$6:$J$27,Comparativo!$E$6:$E$27,$A11,Comparativo!$B$6:$B$27,"TI")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SUMIFS(Planejado!$P$5:$P$26,Planejado!$G$5:$G$26,$A11)</f>
        <v/>
      </c>
    </row>
    <row r="12" ht="20" customHeight="1">
      <c r="A12" s="53" t="inlineStr">
        <is>
          <t>Móveis e Utensílios</t>
        </is>
      </c>
      <c r="B12" s="36">
        <f>SUMIFS(Comparativo!$I$6:$I$27,Comparativo!$E$6:$E$27,$A12,Comparativo!$B$6:$B$27,"Jurídico")</f>
        <v/>
      </c>
      <c r="C12" s="36">
        <f>SUMIFS(Comparativo!$J$6:$J$27,Comparativo!$E$6:$E$27,$A12,Comparativo!$B$6:$B$27,"Jurídico")</f>
        <v/>
      </c>
      <c r="D12" s="36">
        <f>SUMIFS(Comparativo!$I$6:$I$27,Comparativo!$E$6:$E$27,$A12,Comparativo!$B$6:$B$27,"TI")</f>
        <v/>
      </c>
      <c r="E12" s="36">
        <f>SUMIFS(Comparativo!$J$6:$J$27,Comparativo!$E$6:$E$27,$A12,Comparativo!$B$6:$B$27,"TI")</f>
        <v/>
      </c>
      <c r="F12" s="36">
        <f>B12+D12</f>
        <v/>
      </c>
      <c r="G12" s="36">
        <f>C12+E12</f>
        <v/>
      </c>
      <c r="H12" s="36">
        <f>G12-F12</f>
        <v/>
      </c>
      <c r="I12" s="54">
        <f>IFERROR(H12/F12,"")</f>
        <v/>
      </c>
      <c r="J12" s="36">
        <f>SUMIFS(Planejado!$P$5:$P$26,Planejado!$G$5:$G$26,$A12)</f>
        <v/>
      </c>
    </row>
    <row r="13">
      <c r="A13" s="15" t="inlineStr">
        <is>
          <t>TOTAL</t>
        </is>
      </c>
      <c r="B13" s="16">
        <f>SUM(B5:B12)</f>
        <v/>
      </c>
      <c r="C13" s="16">
        <f>SUM(C5:C12)</f>
        <v/>
      </c>
      <c r="D13" s="16">
        <f>SUM(D5:D12)</f>
        <v/>
      </c>
      <c r="E13" s="16">
        <f>SUM(E5:E12)</f>
        <v/>
      </c>
      <c r="F13" s="16">
        <f>SUM(F5:F12)</f>
        <v/>
      </c>
      <c r="G13" s="16">
        <f>SUM(G5:G12)</f>
        <v/>
      </c>
      <c r="H13" s="16">
        <f>SUM(H5:H12)</f>
        <v/>
      </c>
      <c r="I13" s="17">
        <f>IFERROR(H13/F13,"")</f>
        <v/>
      </c>
      <c r="J13" s="16">
        <f>SUM(J5:J12)</f>
        <v/>
      </c>
    </row>
  </sheetData>
  <mergeCells count="2">
    <mergeCell ref="A1:J1"/>
    <mergeCell ref="A2:J2"/>
  </mergeCells>
  <conditionalFormatting sqref="H5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Encargos da Geovanna — CAMPO A PREENCHER</t>
        </is>
      </c>
      <c r="C5" s="56" t="inlineStr">
        <is>
          <t>A linha JUR-E02B foi criada para receber os encargos e benefícios sobre o salário bruto (INSS patronal, FGTS, provisões de 13º e férias, VT/VR, plano de saúde). Hoje está em branco em mai, jun e jul.</t>
        </is>
      </c>
      <c r="D5" s="56" t="inlineStr">
        <is>
          <t>Enquanto não for preenchida, a folha do Jurídico aparece R$ 1.938,61/mês abaixo do orçado — economia que não existe, é só encargo não lançado.</t>
        </is>
      </c>
      <c r="E5" s="56" t="inlineStr">
        <is>
          <t>Cristiane + RH</t>
        </is>
      </c>
      <c r="F5" s="57" t="inlineStr">
        <is>
          <t>PREENCHER</t>
        </is>
      </c>
    </row>
    <row r="6" ht="58" customHeight="1">
      <c r="A6" s="58" t="inlineStr">
        <is>
          <t>B</t>
        </is>
      </c>
      <c r="B6" s="59" t="inlineStr">
        <is>
          <t>Vinicius Di Franco tem o mesmo problema</t>
        </is>
      </c>
      <c r="C6" s="59" t="inlineStr">
        <is>
          <t>O orçamento dele (R$ 5.416,53/mês) também é custo total com encargos. Quando o realizado do TI for lançado, ou vem o custo total, ou a linha precisa ser dividida em bruto + encargos como foi feito com a Geovanna.</t>
        </is>
      </c>
      <c r="D6" s="59" t="inlineStr">
        <is>
          <t>Se lançarem o bruto contra o orçado de custo total, o TI vai mostrar uma economia falsa da mesma natureza.</t>
        </is>
      </c>
      <c r="E6" s="59" t="inlineStr">
        <is>
          <t>Cristiane + RH</t>
        </is>
      </c>
      <c r="F6" s="60" t="inlineStr">
        <is>
          <t>EM ABERTO</t>
        </is>
      </c>
    </row>
    <row r="7" ht="58" customHeight="1">
      <c r="A7" s="55" t="inlineStr">
        <is>
          <t>C</t>
        </is>
      </c>
      <c r="B7" s="56" t="inlineStr">
        <is>
          <t>Reajuste da Thamar — revisão orçamentária</t>
        </is>
      </c>
      <c r="C7" s="56" t="inlineStr">
        <is>
          <t>Reajuste permanente de R$ 5.000 para R$ 5.500/mês, já em vigor desde mai/26. O planejado foi mantido em R$ 5.000 em mai–set (para o desvio ficar visível) e revisado para R$ 5.500 de out a dez.</t>
        </is>
      </c>
      <c r="D7" s="56" t="inlineStr">
        <is>
          <t>Desvio já incorrido de R$ 500/mês. Impacto de +R$ 1.500 no orçamento do restante do ano; o orçamento total sobe para R$ 395.852,68.</t>
        </is>
      </c>
      <c r="E7" s="56" t="inlineStr">
        <is>
          <t>Cristiane</t>
        </is>
      </c>
      <c r="F7" s="61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nos três meses.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0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 Sem confirmação, o acumulado de agosto fica distorcido.</t>
        </is>
      </c>
      <c r="E9" s="56" t="inlineStr">
        <is>
          <t>Cristiane</t>
        </is>
      </c>
      <c r="F9" s="60" t="inlineStr">
        <is>
          <t>EM ABERTO</t>
        </is>
      </c>
    </row>
    <row r="10" ht="58" customHeight="1">
      <c r="A10" s="58" t="inlineStr">
        <is>
          <t>1</t>
        </is>
      </c>
      <c r="B10" s="59" t="inlineStr">
        <is>
          <t>Base de meses do time de TI</t>
        </is>
      </c>
      <c r="C10" s="59" t="inlineStr">
        <is>
          <t>A ficha original trazia a coluna TOTAL do TI em bases diferentes por pessoa (Vinicius e Elias em 12 meses, Jonathan em 9), enquanto o grid mensal tem 8 (mai–dez). Definido: vale mai–dez para todos.</t>
        </is>
      </c>
      <c r="D10" s="59" t="inlineStr">
        <is>
          <t>Orçamento de equipe do TI passou de R$ 167.778,30 para R$ 131.852,20 (−R$ 35.926,10). Total geral: R$ 394.352,68.</t>
        </is>
      </c>
      <c r="E10" s="59" t="inlineStr">
        <is>
          <t>Cristiane</t>
        </is>
      </c>
      <c r="F10" s="61" t="inlineStr">
        <is>
          <t>RESOLVIDO</t>
        </is>
      </c>
    </row>
    <row r="11" ht="58" customHeight="1">
      <c r="A11" s="55" t="inlineStr">
        <is>
          <t>2</t>
        </is>
      </c>
      <c r="B11" s="56" t="inlineStr">
        <is>
          <t>Origem do valor realizado</t>
        </is>
      </c>
      <c r="C11" s="56" t="inlineStr">
        <is>
          <t>Ainda não definido se o realizado virá de lançamento manual, de relatório do financeiro/ERP por centro de custo, ou misto.</t>
        </is>
      </c>
      <c r="D11" s="56" t="inlineStr">
        <is>
          <t>Sem fonte definida o realizado pode divergir da contabilidade e o comparativo perde valor na apresentação à diretoria.</t>
        </is>
      </c>
      <c r="E11" s="56" t="inlineStr">
        <is>
          <t>Cristiane + Financeiro</t>
        </is>
      </c>
      <c r="F11" s="60" t="inlineStr">
        <is>
          <t>EM ABERTO</t>
        </is>
      </c>
    </row>
    <row r="12" ht="58" customHeight="1">
      <c r="A12" s="58" t="inlineStr">
        <is>
          <t>3</t>
        </is>
      </c>
      <c r="B12" s="59" t="inlineStr">
        <is>
          <t>Jusfy x Astrea</t>
        </is>
      </c>
      <c r="C12" s="59" t="inlineStr">
        <is>
          <t>O risco era pagar os dois em paralelo. O realizado de mai–jul mostra Astrea em R$ 0 (cancelado) e Jusfy em R$ 0 (ainda não iniciado) — no momento não há custo de nenhum dos dois.</t>
        </is>
      </c>
      <c r="D12" s="59" t="inlineStr">
        <is>
          <t>Economia de R$ 212,07/mês enquanto durar. Falta decidir se o Jusfy entra e quando, para ajustar o planejado de ago a dez.</t>
        </is>
      </c>
      <c r="E12" s="59" t="inlineStr">
        <is>
          <t>Cristiane</t>
        </is>
      </c>
      <c r="F12" s="61" t="inlineStr">
        <is>
          <t>RESOLVIDO</t>
        </is>
      </c>
    </row>
    <row r="13" ht="58" customHeight="1">
      <c r="A13" s="55" t="inlineStr">
        <is>
          <t>4</t>
        </is>
      </c>
      <c r="B13" s="56" t="inlineStr">
        <is>
          <t>Rateio dos softwares corporativos de TI</t>
        </is>
      </c>
      <c r="C13" s="56" t="inlineStr">
        <is>
          <t>Backup (R$ 6.600), Adapta/IA (R$ 12.200), Antivírus (R$ 1.920) e Office 365 (R$ 3.000) estão marcados na ficha como 'não sei se seria administrativo'. Total: R$ 23.720.</t>
        </is>
      </c>
      <c r="D13" s="56" t="inlineStr">
        <is>
          <t>Se são da empresa toda e ficam no centro de custo de TI, o TI carrega despesa que não é dele e aparece caro no comparativo.</t>
        </is>
      </c>
      <c r="E13" s="56" t="inlineStr">
        <is>
          <t>Cristiane + Controladoria</t>
        </is>
      </c>
      <c r="F13" s="60" t="inlineStr">
        <is>
          <t>EM ABERTO</t>
        </is>
      </c>
    </row>
    <row r="14" ht="58" customHeight="1">
      <c r="A14" s="58" t="inlineStr">
        <is>
          <t>5</t>
        </is>
      </c>
      <c r="B14" s="59" t="inlineStr">
        <is>
          <t>Sala de Reunião — recorrente ou pontual?</t>
        </is>
      </c>
      <c r="C14" s="59" t="inlineStr">
        <is>
          <t>R$ 2.800/mês × 8 = R$ 22.400 diluídos linearmente, classificados em Móveis e Utensílios.</t>
        </is>
      </c>
      <c r="D14" s="59" t="inlineStr">
        <is>
          <t>Se for compra pontual (CAPEX), o desvio mensal vai acusar alarme falso todo mês até a compra acontecer, e um pico no mês da compra.</t>
        </is>
      </c>
      <c r="E14" s="59" t="inlineStr">
        <is>
          <t>Cristiane</t>
        </is>
      </c>
      <c r="F14" s="60" t="inlineStr">
        <is>
          <t>EM ABERTO</t>
        </is>
      </c>
    </row>
    <row r="15" ht="58" customHeight="1">
      <c r="A15" s="55" t="inlineStr">
        <is>
          <t>6</t>
        </is>
      </c>
      <c r="B15" s="56" t="inlineStr">
        <is>
          <t>Office 365 — nº de licenças</t>
        </is>
      </c>
      <c r="C15" s="56" t="inlineStr">
        <is>
          <t>A observação diz '10 licenças de software – 60 usuários'. Os dois números não fecham entre si.</t>
        </is>
      </c>
      <c r="D15" s="56" t="inlineStr">
        <is>
          <t>Afeta o valor orçado da linha e a projeção de crescimento.</t>
        </is>
      </c>
      <c r="E15" s="56" t="inlineStr">
        <is>
          <t>Cristiane</t>
        </is>
      </c>
      <c r="F15" s="60" t="inlineStr">
        <is>
          <t>EM ABERTO</t>
        </is>
      </c>
    </row>
    <row r="16" ht="58" customHeight="1">
      <c r="A16" s="58" t="inlineStr">
        <is>
          <t>7</t>
        </is>
      </c>
      <c r="B16" s="59" t="inlineStr">
        <is>
          <t>Critério de competência x caixa</t>
        </is>
      </c>
      <c r="C16" s="59" t="inlineStr">
        <is>
          <t>Definir se o realizado será lançado pela data de pagamento (caixa) ou pelo mês de referência da despesa (competência).</t>
        </is>
      </c>
      <c r="D16" s="59" t="inlineStr">
        <is>
          <t>Misturar os dois critérios gera desvio artificial em meses de virada, principalmente em folha e prêmios.</t>
        </is>
      </c>
      <c r="E16" s="59" t="inlineStr">
        <is>
          <t>Cristiane + Financeiro</t>
        </is>
      </c>
      <c r="F16" s="60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2" t="inlineStr">
        <is>
          <t>1</t>
        </is>
      </c>
      <c r="B5" s="63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2" t="inlineStr">
        <is>
          <t>2</t>
        </is>
      </c>
      <c r="B6" s="63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2" t="inlineStr">
        <is>
          <t>3</t>
        </is>
      </c>
      <c r="B7" s="63" t="inlineStr">
        <is>
          <t>Vá na aba COMPARATIVO e selecione o mês em B3. Todas as demais abas acompanham essa escolha.</t>
        </is>
      </c>
    </row>
    <row r="8" ht="34" customHeight="1">
      <c r="A8" s="62" t="inlineStr">
        <is>
          <t>4</t>
        </is>
      </c>
      <c r="B8" s="63" t="inlineStr">
        <is>
          <t>Confira o PAINEL: ele mostra o desvio por departamento e os 5 maiores estouros do acumulado. É a tela para levar à diretoria.</t>
        </is>
      </c>
    </row>
    <row r="9" ht="34" customHeight="1">
      <c r="A9" s="62" t="inlineStr">
        <is>
          <t>5</t>
        </is>
      </c>
      <c r="B9" s="63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2" t="inlineStr">
        <is>
          <t>Desvio positivo (vermelho)</t>
        </is>
      </c>
      <c r="B12" s="63" t="inlineStr">
        <is>
          <t>Gastou ACIMA do orçado.</t>
        </is>
      </c>
    </row>
    <row r="13" ht="34" customHeight="1">
      <c r="A13" s="62" t="inlineStr">
        <is>
          <t>Desvio negativo (verde)</t>
        </is>
      </c>
      <c r="B13" s="63" t="inlineStr">
        <is>
          <t>Gastou ABAIXO do orçado — economia ou despesa ainda não realizada.</t>
        </is>
      </c>
    </row>
    <row r="14" ht="34" customHeight="1">
      <c r="A14" s="62" t="inlineStr">
        <is>
          <t>Planejado acum.</t>
        </is>
      </c>
      <c r="B14" s="63" t="inlineStr">
        <is>
          <t>Soma de maio até o mês selecionado.</t>
        </is>
      </c>
    </row>
    <row r="15" ht="34" customHeight="1">
      <c r="A15" s="62" t="inlineStr">
        <is>
          <t>% Executado</t>
        </is>
      </c>
      <c r="B15" s="63" t="inlineStr">
        <is>
          <t>Realizado acumulado ÷ Planejado acumulado. Perto de 100% = no ritmo.</t>
        </is>
      </c>
    </row>
    <row r="16" ht="34" customHeight="1">
      <c r="A16" s="62" t="inlineStr">
        <is>
          <t>Sem lançamento</t>
        </is>
      </c>
      <c r="B16" s="63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2" t="inlineStr">
        <is>
          <t>Não altere</t>
        </is>
      </c>
      <c r="B19" s="63" t="inlineStr">
        <is>
          <t>As colunas de identificação da aba Realizado (A a G) são fórmulas que espelham a aba Planejado. Alterar quebra o comparativo.</t>
        </is>
      </c>
    </row>
    <row r="20" ht="34" customHeight="1">
      <c r="A20" s="62" t="inlineStr">
        <is>
          <t>Nova linha de orçamento</t>
        </is>
      </c>
      <c r="B20" s="63" t="inlineStr">
        <is>
          <t>Insira na aba Planejado e replique a mesma linha na aba Realizado e na aba Comparativo, mantendo o mesmo ID.</t>
        </is>
      </c>
    </row>
    <row r="21" ht="34" customHeight="1">
      <c r="A21" s="62" t="inlineStr">
        <is>
          <t>Revisão de orçamento</t>
        </is>
      </c>
      <c r="B21" s="63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2026-08-05T18:39:51Z</dcterms:created>
  <dcterms:modified xsi:type="dcterms:W3CDTF">2026-08-05T18:39:51Z</dcterms:modified>
</cp:coreProperties>
</file>