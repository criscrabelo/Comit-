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omparativo" sheetId="2" state="visible" r:id="rId2"/>
    <sheet name="Planejado" sheetId="3" state="visible" r:id="rId3"/>
    <sheet name="Realizado" sheetId="4" state="visible" r:id="rId4"/>
    <sheet name="Evolução Mensal" sheetId="5" state="visible" r:id="rId5"/>
    <sheet name="Por Plano de Contas" sheetId="6" state="visible" r:id="rId6"/>
    <sheet name="Pendências" sheetId="7" state="visible" r:id="rId7"/>
    <sheet name="Como usar" sheetId="8" state="visible" r:id="rId8"/>
    <sheet name="Contas Pagas (resumo)" sheetId="9" state="visible" r:id="rId9"/>
    <sheet name="Contas Pagas (detalhe)" sheetId="10" state="visible" r:id="rId10"/>
  </sheets>
  <definedNames>
    <definedName name="_xlnm._FilterDatabase" localSheetId="1" hidden="1">'Comparativo'!$A$5:$N$30</definedName>
    <definedName name="_xlnm._FilterDatabase" localSheetId="2" hidden="1">'Planejado'!$A$4:$T$29</definedName>
    <definedName name="_xlnm._FilterDatabase" localSheetId="8" hidden="1">'Contas Pagas (resumo)'!$A$4:$L$52</definedName>
    <definedName name="_xlnm._FilterDatabase" localSheetId="9" hidden="1">'Contas Pagas (detalhe)'!$A$4:$H$423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0"/>
    </font>
    <font>
      <color rgb="00595959"/>
      <sz val="9"/>
    </font>
    <font>
      <sz val="8"/>
    </font>
    <font>
      <b val="1"/>
      <sz val="10"/>
    </font>
    <font>
      <b val="1"/>
      <color rgb="001F3864"/>
      <sz val="11"/>
    </font>
    <font>
      <color rgb="00808080"/>
      <sz val="9"/>
    </font>
    <font>
      <color rgb="00BFBFBF"/>
      <sz val="8"/>
    </font>
    <font>
      <i val="1"/>
      <color rgb="00808080"/>
      <sz val="9"/>
    </font>
    <font>
      <b val="1"/>
      <color rgb="009C0006"/>
      <sz val="9"/>
    </font>
    <font>
      <color rgb="00000000"/>
      <sz val="10"/>
    </font>
    <font>
      <b val="1"/>
      <color rgb="00000000"/>
      <sz val="10"/>
    </font>
    <font>
      <b val="1"/>
      <color rgb="00FFFFFF"/>
      <sz val="12"/>
    </font>
    <font>
      <b val="1"/>
      <color rgb="00000000"/>
      <sz val="11"/>
    </font>
    <font>
      <b val="1"/>
      <sz val="12"/>
    </font>
    <font>
      <b val="1"/>
      <color rgb="001E6B3A"/>
      <sz val="14"/>
    </font>
    <font>
      <i val="1"/>
      <color rgb="009C0006"/>
      <sz val="9"/>
    </font>
    <font>
      <b val="1"/>
      <color rgb="00FFFFFF"/>
      <sz val="11"/>
    </font>
    <font>
      <b val="1"/>
      <color rgb="001E6B3A"/>
      <sz val="9"/>
    </font>
    <font>
      <b val="1"/>
      <color rgb="009C0006"/>
      <sz val="8"/>
    </font>
    <font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F7DC"/>
      </patternFill>
    </fill>
    <fill>
      <patternFill patternType="solid">
        <fgColor rgb="00FFC7CE"/>
      </patternFill>
    </fill>
    <fill>
      <patternFill patternType="solid">
        <fgColor rgb="001E6B3A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3" fillId="0" borderId="0" pivotButton="0" quotePrefix="0" xfId="0"/>
    <xf numFmtId="0" fontId="14" fillId="9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 wrapText="1"/>
    </xf>
    <xf numFmtId="0" fontId="15" fillId="4" borderId="1" pivotButton="0" quotePrefix="0" xfId="0"/>
    <xf numFmtId="164" fontId="15" fillId="4" borderId="1" pivotButton="0" quotePrefix="0" xfId="0"/>
    <xf numFmtId="165" fontId="15" fillId="4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16" fillId="5" borderId="1" pivotButton="0" quotePrefix="0" xfId="0"/>
    <xf numFmtId="164" fontId="16" fillId="5" borderId="1" pivotButton="0" quotePrefix="0" xfId="0"/>
    <xf numFmtId="165" fontId="16" fillId="5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0" fontId="6" fillId="2" borderId="1" pivotButton="0" quotePrefix="0" xfId="0"/>
    <xf numFmtId="164" fontId="6" fillId="2" borderId="1" pivotButton="0" quotePrefix="0" xfId="0"/>
    <xf numFmtId="165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17" fillId="10" borderId="0" applyAlignment="1" pivotButton="0" quotePrefix="0" xfId="0">
      <alignment vertical="center" indent="1"/>
    </xf>
    <xf numFmtId="0" fontId="9" fillId="4" borderId="1" pivotButton="0" quotePrefix="0" xfId="0"/>
    <xf numFmtId="164" fontId="18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indent="1"/>
    </xf>
    <xf numFmtId="0" fontId="19" fillId="11" borderId="1" pivotButton="0" quotePrefix="0" xfId="0"/>
    <xf numFmtId="164" fontId="20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vertical="center" indent="1"/>
    </xf>
    <xf numFmtId="165" fontId="18" fillId="4" borderId="1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 indent="1"/>
    </xf>
    <xf numFmtId="0" fontId="22" fillId="10" borderId="0" applyAlignment="1" pivotButton="0" quotePrefix="0" xfId="0">
      <alignment vertical="center" inden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4" fontId="23" fillId="0" borderId="1" pivotButton="0" quotePrefix="0" xfId="0"/>
    <xf numFmtId="165" fontId="4" fillId="0" borderId="1" pivotButton="0" quotePrefix="0" xfId="0"/>
    <xf numFmtId="0" fontId="22" fillId="3" borderId="0" applyAlignment="1" pivotButton="0" quotePrefix="0" xfId="0">
      <alignment vertical="center" indent="1"/>
    </xf>
    <xf numFmtId="0" fontId="10" fillId="8" borderId="1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pivotButton="0" quotePrefix="0" xfId="0"/>
    <xf numFmtId="165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12" fillId="4" borderId="1" pivotButton="0" quotePrefix="0" xfId="0"/>
    <xf numFmtId="164" fontId="12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pivotButton="0" quotePrefix="0" xfId="0"/>
    <xf numFmtId="165" fontId="4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12" fillId="6" borderId="1" pivotButton="0" quotePrefix="0" xfId="0"/>
    <xf numFmtId="165" fontId="6" fillId="2" borderId="1" pivotButton="0" quotePrefix="0" xfId="0"/>
    <xf numFmtId="164" fontId="5" fillId="5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164" fontId="4" fillId="8" borderId="1" pivotButton="0" quotePrefix="0" xfId="0"/>
    <xf numFmtId="0" fontId="8" fillId="8" borderId="1" applyAlignment="1" pivotButton="0" quotePrefix="0" xfId="0">
      <alignment vertical="center" wrapText="1"/>
    </xf>
    <xf numFmtId="0" fontId="6" fillId="7" borderId="1" pivotButton="0" quotePrefix="0" xfId="0"/>
    <xf numFmtId="164" fontId="6" fillId="7" borderId="1" pivotButton="0" quotePrefix="0" xfId="0"/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pivotButton="0" quotePrefix="0" xfId="0"/>
    <xf numFmtId="165" fontId="4" fillId="4" borderId="1" applyAlignment="1" pivotButton="0" quotePrefix="0" xfId="0">
      <alignment horizontal="center"/>
    </xf>
    <xf numFmtId="0" fontId="4" fillId="6" borderId="1" pivotButton="0" quotePrefix="0" xfId="0"/>
    <xf numFmtId="165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/>
    </xf>
    <xf numFmtId="0" fontId="25" fillId="0" borderId="1" applyAlignment="1" pivotButton="0" quotePrefix="0" xfId="0">
      <alignment vertical="top" wrapText="1"/>
    </xf>
    <xf numFmtId="164" fontId="5" fillId="4" borderId="1" pivotButton="0" quotePrefix="0" xfId="0"/>
    <xf numFmtId="0" fontId="24" fillId="4" borderId="1" applyAlignment="1" pivotButton="0" quotePrefix="0" xfId="0">
      <alignment vertical="center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/>
    </xf>
    <xf numFmtId="164" fontId="4" fillId="17" borderId="1" pivotButton="0" quotePrefix="0" xfId="0"/>
    <xf numFmtId="164" fontId="5" fillId="17" borderId="1" pivotButton="0" quotePrefix="0" xfId="0"/>
    <xf numFmtId="0" fontId="24" fillId="17" borderId="1" applyAlignment="1" pivotButton="0" quotePrefix="0" xfId="0">
      <alignment vertical="center" wrapText="1"/>
    </xf>
    <xf numFmtId="0" fontId="8" fillId="0" borderId="1" pivotButton="0" quotePrefix="0" xfId="0"/>
    <xf numFmtId="164" fontId="8" fillId="0" borderId="1" pivotButton="0" quotePrefix="0" xfId="0"/>
    <xf numFmtId="0" fontId="5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  <sz val="9"/>
      </font>
      <fill>
        <patternFill patternType="solid">
          <fgColor rgb="00FFC7CE"/>
        </patternFill>
      </fill>
    </dxf>
    <dxf>
      <font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Acumulado: Planejado x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Mensal'!I4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Mensal'!$I$5:$I$16</f>
            </numRef>
          </val>
        </ser>
        <ser>
          <idx val="1"/>
          <order val="1"/>
          <tx>
            <strRef>
              <f>'Evolução Mensal'!J4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Mensal'!$J$5:$J$16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Mês a mês: Planejado x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Mensal'!F4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Mensal'!$F$5:$F$16</f>
            </numRef>
          </val>
        </ser>
        <ser>
          <idx val="1"/>
          <order val="1"/>
          <tx>
            <strRef>
              <f>'Evolução Mensal'!G4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Mensal'!$A$5:$A$16</f>
            </numRef>
          </cat>
          <val>
            <numRef>
              <f>'Evolução Mensal'!$G$5:$G$16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7" customWidth="1" min="3" max="3"/>
    <col width="17" customWidth="1" min="4" max="4"/>
    <col width="17" customWidth="1" min="5" max="5"/>
    <col width="16" customWidth="1" min="6" max="6"/>
    <col width="14" customWidth="1" min="7" max="7"/>
    <col width="20" customWidth="1" min="8" max="8"/>
    <col width="16" customWidth="1" min="9" max="9"/>
  </cols>
  <sheetData>
    <row r="1" ht="30" customHeight="1">
      <c r="A1" s="1" t="inlineStr">
        <is>
          <t>PAINEL EXECUTIVO  —  Orçamento 2026  JURÍDICO E TI</t>
        </is>
      </c>
    </row>
    <row r="2" ht="18" customHeight="1">
      <c r="A2" s="2" t="inlineStr">
        <is>
          <t>Acompanha o mês selecionado na aba Comparativo (célula B3). Desvio positivo = gastou acima do orçado. ATENÇÃO: confira a coluna 'Linhas lançadas' — desvio negativo em linha não lançada é ausência de dado, não economia.</t>
        </is>
      </c>
    </row>
    <row r="3">
      <c r="A3" s="3" t="inlineStr">
        <is>
          <t>Mês de referência:</t>
        </is>
      </c>
      <c r="B3" s="4">
        <f>Comparativo!$B$3</f>
        <v/>
      </c>
      <c r="C3" s="5" t="inlineStr">
        <is>
          <t>(altere na aba Comparativo)</t>
        </is>
      </c>
    </row>
    <row r="4" ht="20" customHeight="1">
      <c r="A4" s="6" t="inlineStr">
        <is>
          <t>⚠ Geovanna: realizado em salário bruto; orçado em custo total — o desvio desta linha não é economia.</t>
        </is>
      </c>
    </row>
    <row r="5" ht="30" customHeight="1">
      <c r="A5" s="7" t="inlineStr">
        <is>
          <t>Departamento</t>
        </is>
      </c>
      <c r="B5" s="7" t="inlineStr">
        <is>
          <t>Bloco</t>
        </is>
      </c>
      <c r="C5" s="7" t="inlineStr">
        <is>
          <t>Orçado do ano</t>
        </is>
      </c>
      <c r="D5" s="7" t="inlineStr">
        <is>
          <t>Planejado acum.</t>
        </is>
      </c>
      <c r="E5" s="7" t="inlineStr">
        <is>
          <t>Realizado acum.</t>
        </is>
      </c>
      <c r="F5" s="7" t="inlineStr">
        <is>
          <t>Desvio (R$)</t>
        </is>
      </c>
      <c r="G5" s="7" t="inlineStr">
        <is>
          <t>Desvio (%)</t>
        </is>
      </c>
      <c r="H5" s="7" t="inlineStr">
        <is>
          <t>% Executado do ano</t>
        </is>
      </c>
      <c r="I5" s="7" t="inlineStr">
        <is>
          <t>Linhas lançadas</t>
        </is>
      </c>
    </row>
    <row r="6" ht="22" customHeight="1">
      <c r="A6" s="8" t="inlineStr">
        <is>
          <t>Jurídico</t>
        </is>
      </c>
      <c r="B6" s="8" t="inlineStr">
        <is>
          <t>Equipe</t>
        </is>
      </c>
      <c r="C6" s="9">
        <f>SUMIFS(Planejado!$T$5:$T$29,Planejado!$B$5:$B$29,"Jurídico",Planejado!$C$5:$C$29,"Equipe")</f>
        <v/>
      </c>
      <c r="D6" s="9">
        <f>SUMIFS(Comparativo!$I$6:$I$30,Comparativo!$B$6:$B$30,"Jurídico",Comparativo!$C$6:$C$30,"Equipe")</f>
        <v/>
      </c>
      <c r="E6" s="9">
        <f>SUMIFS(Comparativo!$J$6:$J$30,Comparativo!$B$6:$B$30,"Jurídico",Comparativo!$C$6:$C$30,"Equipe")</f>
        <v/>
      </c>
      <c r="F6" s="9">
        <f>E6-D6</f>
        <v/>
      </c>
      <c r="G6" s="10">
        <f>IFERROR(F6/D6,"")</f>
        <v/>
      </c>
      <c r="H6" s="10">
        <f>IFERROR(E6/C6,"")</f>
        <v/>
      </c>
      <c r="I6" s="11">
        <f>COUNTIFS(Comparativo!$P$6:$P$30,"&gt;0",Comparativo!$B$6:$B$30,"Jurídico",Comparativo!$C$6:$C$30,"Equipe")&amp;" de "&amp;COUNTIFS(Comparativo!$A$6:$A$30,"?*",Comparativo!$B$6:$B$30,"Jurídico",Comparativo!$C$6:$C$30,"Equipe")</f>
        <v/>
      </c>
    </row>
    <row r="7" ht="22" customHeight="1">
      <c r="A7" s="8" t="inlineStr">
        <is>
          <t>Jurídico</t>
        </is>
      </c>
      <c r="B7" s="8" t="inlineStr">
        <is>
          <t>Despesas</t>
        </is>
      </c>
      <c r="C7" s="9">
        <f>SUMIFS(Planejado!$T$5:$T$29,Planejado!$B$5:$B$29,"Jurídico",Planejado!$C$5:$C$29,"Despesas")</f>
        <v/>
      </c>
      <c r="D7" s="9">
        <f>SUMIFS(Comparativo!$I$6:$I$30,Comparativo!$B$6:$B$30,"Jurídico",Comparativo!$C$6:$C$30,"Despesas")</f>
        <v/>
      </c>
      <c r="E7" s="9">
        <f>SUMIFS(Comparativo!$J$6:$J$30,Comparativo!$B$6:$B$30,"Jurídico",Comparativo!$C$6:$C$30,"Despesas")</f>
        <v/>
      </c>
      <c r="F7" s="9">
        <f>E7-D7</f>
        <v/>
      </c>
      <c r="G7" s="10">
        <f>IFERROR(F7/D7,"")</f>
        <v/>
      </c>
      <c r="H7" s="10">
        <f>IFERROR(E7/C7,"")</f>
        <v/>
      </c>
      <c r="I7" s="11">
        <f>COUNTIFS(Comparativo!$P$6:$P$30,"&gt;0",Comparativo!$B$6:$B$30,"Jurídico",Comparativo!$C$6:$C$30,"Despesas")&amp;" de "&amp;COUNTIFS(Comparativo!$A$6:$A$30,"?*",Comparativo!$B$6:$B$30,"Jurídico",Comparativo!$C$6:$C$30,"Despesas")</f>
        <v/>
      </c>
    </row>
    <row r="8" ht="22" customHeight="1">
      <c r="A8" s="12" t="inlineStr">
        <is>
          <t>Jurídico</t>
        </is>
      </c>
      <c r="B8" s="12" t="inlineStr">
        <is>
          <t>Equipe + Despesas</t>
        </is>
      </c>
      <c r="C8" s="13">
        <f>SUMIFS(Planejado!$T$5:$T$29,Planejado!$B$5:$B$29,"Jurídico")</f>
        <v/>
      </c>
      <c r="D8" s="13">
        <f>SUMIFS(Comparativo!$I$6:$I$30,Comparativo!$B$6:$B$30,"Jurídico")</f>
        <v/>
      </c>
      <c r="E8" s="13">
        <f>SUMIFS(Comparativo!$J$6:$J$30,Comparativo!$B$6:$B$30,"Jurídico")</f>
        <v/>
      </c>
      <c r="F8" s="13">
        <f>E8-D8</f>
        <v/>
      </c>
      <c r="G8" s="14">
        <f>IFERROR(F8/D8,"")</f>
        <v/>
      </c>
      <c r="H8" s="14">
        <f>IFERROR(E8/C8,"")</f>
        <v/>
      </c>
      <c r="I8" s="15">
        <f>COUNTIFS(Comparativo!$P$6:$P$30,"&gt;0",Comparativo!$B$6:$B$30,"Jurídico")&amp;" de "&amp;COUNTIFS(Comparativo!$A$6:$A$30,"?*",Comparativo!$B$6:$B$30,"Jurídico")</f>
        <v/>
      </c>
    </row>
    <row r="9" ht="22" customHeight="1">
      <c r="A9" s="8" t="inlineStr">
        <is>
          <t>TI</t>
        </is>
      </c>
      <c r="B9" s="8" t="inlineStr">
        <is>
          <t>Equipe</t>
        </is>
      </c>
      <c r="C9" s="9">
        <f>SUMIFS(Planejado!$T$5:$T$29,Planejado!$B$5:$B$29,"TI",Planejado!$C$5:$C$29,"Equipe")</f>
        <v/>
      </c>
      <c r="D9" s="9">
        <f>SUMIFS(Comparativo!$I$6:$I$30,Comparativo!$B$6:$B$30,"TI",Comparativo!$C$6:$C$30,"Equipe")</f>
        <v/>
      </c>
      <c r="E9" s="9">
        <f>SUMIFS(Comparativo!$J$6:$J$30,Comparativo!$B$6:$B$30,"TI",Comparativo!$C$6:$C$30,"Equipe")</f>
        <v/>
      </c>
      <c r="F9" s="9">
        <f>E9-D9</f>
        <v/>
      </c>
      <c r="G9" s="10">
        <f>IFERROR(F9/D9,"")</f>
        <v/>
      </c>
      <c r="H9" s="10">
        <f>IFERROR(E9/C9,"")</f>
        <v/>
      </c>
      <c r="I9" s="11">
        <f>COUNTIFS(Comparativo!$P$6:$P$30,"&gt;0",Comparativo!$B$6:$B$30,"TI",Comparativo!$C$6:$C$30,"Equipe")&amp;" de "&amp;COUNTIFS(Comparativo!$A$6:$A$30,"?*",Comparativo!$B$6:$B$30,"TI",Comparativo!$C$6:$C$30,"Equipe")</f>
        <v/>
      </c>
    </row>
    <row r="10" ht="22" customHeight="1">
      <c r="A10" s="8" t="inlineStr">
        <is>
          <t>TI</t>
        </is>
      </c>
      <c r="B10" s="8" t="inlineStr">
        <is>
          <t>Despesas</t>
        </is>
      </c>
      <c r="C10" s="9">
        <f>SUMIFS(Planejado!$T$5:$T$29,Planejado!$B$5:$B$29,"TI",Planejado!$C$5:$C$29,"Despesas")</f>
        <v/>
      </c>
      <c r="D10" s="9">
        <f>SUMIFS(Comparativo!$I$6:$I$30,Comparativo!$B$6:$B$30,"TI",Comparativo!$C$6:$C$30,"Despesas")</f>
        <v/>
      </c>
      <c r="E10" s="9">
        <f>SUMIFS(Comparativo!$J$6:$J$30,Comparativo!$B$6:$B$30,"TI",Comparativo!$C$6:$C$30,"Despesas")</f>
        <v/>
      </c>
      <c r="F10" s="9">
        <f>E10-D10</f>
        <v/>
      </c>
      <c r="G10" s="10">
        <f>IFERROR(F10/D10,"")</f>
        <v/>
      </c>
      <c r="H10" s="10">
        <f>IFERROR(E10/C10,"")</f>
        <v/>
      </c>
      <c r="I10" s="11">
        <f>COUNTIFS(Comparativo!$P$6:$P$30,"&gt;0",Comparativo!$B$6:$B$30,"TI",Comparativo!$C$6:$C$30,"Despesas")&amp;" de "&amp;COUNTIFS(Comparativo!$A$6:$A$30,"?*",Comparativo!$B$6:$B$30,"TI",Comparativo!$C$6:$C$30,"Despesas")</f>
        <v/>
      </c>
    </row>
    <row r="11" ht="22" customHeight="1">
      <c r="A11" s="12" t="inlineStr">
        <is>
          <t>TI</t>
        </is>
      </c>
      <c r="B11" s="12" t="inlineStr">
        <is>
          <t>Equipe + Despesas</t>
        </is>
      </c>
      <c r="C11" s="13">
        <f>SUMIFS(Planejado!$T$5:$T$29,Planejado!$B$5:$B$29,"TI")</f>
        <v/>
      </c>
      <c r="D11" s="13">
        <f>SUMIFS(Comparativo!$I$6:$I$30,Comparativo!$B$6:$B$30,"TI")</f>
        <v/>
      </c>
      <c r="E11" s="13">
        <f>SUMIFS(Comparativo!$J$6:$J$30,Comparativo!$B$6:$B$30,"TI")</f>
        <v/>
      </c>
      <c r="F11" s="13">
        <f>E11-D11</f>
        <v/>
      </c>
      <c r="G11" s="14">
        <f>IFERROR(F11/D11,"")</f>
        <v/>
      </c>
      <c r="H11" s="14">
        <f>IFERROR(E11/C11,"")</f>
        <v/>
      </c>
      <c r="I11" s="15">
        <f>COUNTIFS(Comparativo!$P$6:$P$30,"&gt;0",Comparativo!$B$6:$B$30,"TI")&amp;" de "&amp;COUNTIFS(Comparativo!$A$6:$A$30,"?*",Comparativo!$B$6:$B$30,"TI")</f>
        <v/>
      </c>
    </row>
    <row r="12" ht="22" customHeight="1">
      <c r="A12" s="16" t="inlineStr">
        <is>
          <t>TOTAL GERAL</t>
        </is>
      </c>
      <c r="B12" s="16" t="inlineStr"/>
      <c r="C12" s="17">
        <f>SUM(Planejado!$T$5:$T$29)</f>
        <v/>
      </c>
      <c r="D12" s="17">
        <f>SUM(Comparativo!$I$6:$I$30)</f>
        <v/>
      </c>
      <c r="E12" s="17">
        <f>SUM(Comparativo!$J$6:$J$30)</f>
        <v/>
      </c>
      <c r="F12" s="17">
        <f>E12-D12</f>
        <v/>
      </c>
      <c r="G12" s="18">
        <f>IFERROR(F12/D12,"")</f>
        <v/>
      </c>
      <c r="H12" s="18">
        <f>IFERROR(E12/C12,"")</f>
        <v/>
      </c>
      <c r="I12" s="19">
        <f>COUNTIFS(Comparativo!$P$6:$P$30,"&gt;0")&amp;" de "&amp;COUNTA(Comparativo!$A$6:$A$30)</f>
        <v/>
      </c>
    </row>
    <row r="15" ht="24" customHeight="1">
      <c r="A15" s="20" t="inlineStr">
        <is>
          <t>ECONOMIA GERADA — acumulado de janeiro até o mês de referência</t>
        </is>
      </c>
    </row>
    <row r="16" ht="20" customHeight="1">
      <c r="A16" s="21" t="inlineStr">
        <is>
          <t>Economia bruta</t>
        </is>
      </c>
      <c r="B16" s="21" t="n"/>
      <c r="C16" s="22">
        <f>-SUMIF(Comparativo!$Q$6:$Q$30,"&lt;0")</f>
        <v/>
      </c>
      <c r="D16" s="23" t="inlineStr">
        <is>
          <t>Soma de tudo que ficou abaixo do orçado</t>
        </is>
      </c>
      <c r="E16" s="23" t="n"/>
      <c r="F16" s="23" t="n"/>
      <c r="G16" s="23" t="n"/>
      <c r="H16" s="23" t="n"/>
      <c r="I16" s="23" t="n"/>
    </row>
    <row r="17" ht="20" customHeight="1">
      <c r="A17" s="21" t="inlineStr">
        <is>
          <t>(−) Gastos acima do orçado</t>
        </is>
      </c>
      <c r="B17" s="21" t="n"/>
      <c r="C17" s="22">
        <f>-SUMIF(Comparativo!$Q$6:$Q$30,"&gt;0")</f>
        <v/>
      </c>
      <c r="D17" s="23" t="inlineStr">
        <is>
          <t>Estouros que consomem parte da economia</t>
        </is>
      </c>
      <c r="E17" s="23" t="n"/>
      <c r="F17" s="23" t="n"/>
      <c r="G17" s="23" t="n"/>
      <c r="H17" s="23" t="n"/>
      <c r="I17" s="23" t="n"/>
    </row>
    <row r="18" ht="26" customHeight="1">
      <c r="A18" s="24">
        <f> ECONOMIA LÍQUIDA</f>
        <v/>
      </c>
      <c r="B18" s="24" t="n"/>
      <c r="C18" s="25">
        <f>-SUM(Comparativo!$Q$6:$Q$30)</f>
        <v/>
      </c>
      <c r="D18" s="26" t="inlineStr">
        <is>
          <t>O número defensável: só linhas comparáveis</t>
        </is>
      </c>
      <c r="E18" s="26" t="n"/>
      <c r="F18" s="26" t="n"/>
      <c r="G18" s="26" t="n"/>
      <c r="H18" s="26" t="n"/>
      <c r="I18" s="26" t="n"/>
    </row>
    <row r="19" ht="20" customHeight="1">
      <c r="A19" s="21" t="inlineStr">
        <is>
          <t>Projeção para o ano</t>
        </is>
      </c>
      <c r="B19" s="21" t="n"/>
      <c r="C19" s="22">
        <f>IFERROR(-SUM(Comparativo!$Q$6:$Q$30)/Comparativo!$D$3*12,"")</f>
        <v/>
      </c>
      <c r="D19" s="23" t="inlineStr">
        <is>
          <t>Extrapolação linear, se o padrão dos meses fechados se mantiver</t>
        </is>
      </c>
      <c r="E19" s="23" t="n"/>
      <c r="F19" s="23" t="n"/>
      <c r="G19" s="23" t="n"/>
      <c r="H19" s="23" t="n"/>
      <c r="I19" s="23" t="n"/>
    </row>
    <row r="20" ht="20" customHeight="1">
      <c r="A20" s="21" t="inlineStr">
        <is>
          <t>% sobre o orçado do período</t>
        </is>
      </c>
      <c r="B20" s="21" t="n"/>
      <c r="C20" s="27">
        <f>IFERROR(-SUM(Comparativo!$Q$6:$Q$30)/SUM(Comparativo!$S$6:$S$30),"")</f>
        <v/>
      </c>
      <c r="D20" s="23" t="inlineStr">
        <is>
          <t>Economia líquida ÷ planejado das linhas que entram na conta</t>
        </is>
      </c>
      <c r="E20" s="23" t="n"/>
      <c r="F20" s="23" t="n"/>
      <c r="G20" s="23" t="n"/>
      <c r="H20" s="23" t="n"/>
      <c r="I20" s="23" t="n"/>
    </row>
    <row r="21" ht="18" customHeight="1">
      <c r="A21" s="28" t="inlineStr">
        <is>
          <t>Fora desta conta: linhas sem nenhum lançamento; Geovanna (base diferente). Só entra o que foi efetivamente lançado e é comparável.</t>
        </is>
      </c>
    </row>
    <row r="23" ht="22" customHeight="1">
      <c r="A23" s="29" t="inlineStr">
        <is>
          <t>DE ONDE VEIO A ECONOMIA (top 5)</t>
        </is>
      </c>
    </row>
    <row r="24" ht="30" customHeight="1">
      <c r="A24" s="7" t="inlineStr">
        <is>
          <t>#</t>
        </is>
      </c>
      <c r="B24" s="7" t="inlineStr">
        <is>
          <t>Item</t>
        </is>
      </c>
      <c r="C24" s="7" t="inlineStr">
        <is>
          <t>Departamento</t>
        </is>
      </c>
      <c r="D24" s="7" t="inlineStr">
        <is>
          <t>Planejado acum.</t>
        </is>
      </c>
      <c r="E24" s="7" t="inlineStr">
        <is>
          <t>Realizado acum.</t>
        </is>
      </c>
      <c r="F24" s="7" t="inlineStr">
        <is>
          <t>Economia (R$)</t>
        </is>
      </c>
      <c r="G24" s="7" t="inlineStr">
        <is>
          <t>% da linha</t>
        </is>
      </c>
      <c r="H24" s="7" t="inlineStr"/>
      <c r="I24" s="7" t="inlineStr"/>
    </row>
    <row r="25">
      <c r="A25" s="30" t="n">
        <v>1</v>
      </c>
      <c r="B25" s="31">
        <f>IFERROR(INDEX(Comparativo!$D$6:$D$30,MATCH(LARGE(Comparativo!$R$6:$R$30,A25),Comparativo!$R$6:$R$30,0)),"")</f>
        <v/>
      </c>
      <c r="C25" s="31">
        <f>IFERROR(INDEX(Comparativo!$B$6:$B$30,MATCH(LARGE(Comparativo!$R$6:$R$30,A25),Comparativo!$R$6:$R$30,0)),"")</f>
        <v/>
      </c>
      <c r="D25" s="32">
        <f>IFERROR(INDEX(Comparativo!$I$6:$I$30,MATCH(LARGE(Comparativo!$R$6:$R$30,A25),Comparativo!$R$6:$R$30,0)),"")</f>
        <v/>
      </c>
      <c r="E25" s="32">
        <f>IFERROR(INDEX(Comparativo!$J$6:$J$30,MATCH(LARGE(Comparativo!$R$6:$R$30,A25),Comparativo!$R$6:$R$30,0)),"")</f>
        <v/>
      </c>
      <c r="F25" s="33">
        <f>IFERROR(-IFERROR(INDEX(Comparativo!$K$6:$K$30,MATCH(LARGE(Comparativo!$R$6:$R$30,A25),Comparativo!$R$6:$R$30,0)),""),"")</f>
        <v/>
      </c>
      <c r="G25" s="34">
        <f>IFERROR(F25/D25,"")</f>
        <v/>
      </c>
    </row>
    <row r="26">
      <c r="A26" s="30" t="n">
        <v>2</v>
      </c>
      <c r="B26" s="31">
        <f>IFERROR(INDEX(Comparativo!$D$6:$D$30,MATCH(LARGE(Comparativo!$R$6:$R$30,A26),Comparativo!$R$6:$R$30,0)),"")</f>
        <v/>
      </c>
      <c r="C26" s="31">
        <f>IFERROR(INDEX(Comparativo!$B$6:$B$30,MATCH(LARGE(Comparativo!$R$6:$R$30,A26),Comparativo!$R$6:$R$30,0)),"")</f>
        <v/>
      </c>
      <c r="D26" s="32">
        <f>IFERROR(INDEX(Comparativo!$I$6:$I$30,MATCH(LARGE(Comparativo!$R$6:$R$30,A26),Comparativo!$R$6:$R$30,0)),"")</f>
        <v/>
      </c>
      <c r="E26" s="32">
        <f>IFERROR(INDEX(Comparativo!$J$6:$J$30,MATCH(LARGE(Comparativo!$R$6:$R$30,A26),Comparativo!$R$6:$R$30,0)),"")</f>
        <v/>
      </c>
      <c r="F26" s="33">
        <f>IFERROR(-IFERROR(INDEX(Comparativo!$K$6:$K$30,MATCH(LARGE(Comparativo!$R$6:$R$30,A26),Comparativo!$R$6:$R$30,0)),""),"")</f>
        <v/>
      </c>
      <c r="G26" s="34">
        <f>IFERROR(F26/D26,"")</f>
        <v/>
      </c>
    </row>
    <row r="27">
      <c r="A27" s="30" t="n">
        <v>3</v>
      </c>
      <c r="B27" s="31">
        <f>IFERROR(INDEX(Comparativo!$D$6:$D$30,MATCH(LARGE(Comparativo!$R$6:$R$30,A27),Comparativo!$R$6:$R$30,0)),"")</f>
        <v/>
      </c>
      <c r="C27" s="31">
        <f>IFERROR(INDEX(Comparativo!$B$6:$B$30,MATCH(LARGE(Comparativo!$R$6:$R$30,A27),Comparativo!$R$6:$R$30,0)),"")</f>
        <v/>
      </c>
      <c r="D27" s="32">
        <f>IFERROR(INDEX(Comparativo!$I$6:$I$30,MATCH(LARGE(Comparativo!$R$6:$R$30,A27),Comparativo!$R$6:$R$30,0)),"")</f>
        <v/>
      </c>
      <c r="E27" s="32">
        <f>IFERROR(INDEX(Comparativo!$J$6:$J$30,MATCH(LARGE(Comparativo!$R$6:$R$30,A27),Comparativo!$R$6:$R$30,0)),"")</f>
        <v/>
      </c>
      <c r="F27" s="33">
        <f>IFERROR(-IFERROR(INDEX(Comparativo!$K$6:$K$30,MATCH(LARGE(Comparativo!$R$6:$R$30,A27),Comparativo!$R$6:$R$30,0)),""),"")</f>
        <v/>
      </c>
      <c r="G27" s="34">
        <f>IFERROR(F27/D27,"")</f>
        <v/>
      </c>
    </row>
    <row r="28">
      <c r="A28" s="30" t="n">
        <v>4</v>
      </c>
      <c r="B28" s="31">
        <f>IFERROR(INDEX(Comparativo!$D$6:$D$30,MATCH(LARGE(Comparativo!$R$6:$R$30,A28),Comparativo!$R$6:$R$30,0)),"")</f>
        <v/>
      </c>
      <c r="C28" s="31">
        <f>IFERROR(INDEX(Comparativo!$B$6:$B$30,MATCH(LARGE(Comparativo!$R$6:$R$30,A28),Comparativo!$R$6:$R$30,0)),"")</f>
        <v/>
      </c>
      <c r="D28" s="32">
        <f>IFERROR(INDEX(Comparativo!$I$6:$I$30,MATCH(LARGE(Comparativo!$R$6:$R$30,A28),Comparativo!$R$6:$R$30,0)),"")</f>
        <v/>
      </c>
      <c r="E28" s="32">
        <f>IFERROR(INDEX(Comparativo!$J$6:$J$30,MATCH(LARGE(Comparativo!$R$6:$R$30,A28),Comparativo!$R$6:$R$30,0)),"")</f>
        <v/>
      </c>
      <c r="F28" s="33">
        <f>IFERROR(-IFERROR(INDEX(Comparativo!$K$6:$K$30,MATCH(LARGE(Comparativo!$R$6:$R$30,A28),Comparativo!$R$6:$R$30,0)),""),"")</f>
        <v/>
      </c>
      <c r="G28" s="34">
        <f>IFERROR(F28/D28,"")</f>
        <v/>
      </c>
    </row>
    <row r="29">
      <c r="A29" s="30" t="n">
        <v>5</v>
      </c>
      <c r="B29" s="31">
        <f>IFERROR(INDEX(Comparativo!$D$6:$D$30,MATCH(LARGE(Comparativo!$R$6:$R$30,A29),Comparativo!$R$6:$R$30,0)),"")</f>
        <v/>
      </c>
      <c r="C29" s="31">
        <f>IFERROR(INDEX(Comparativo!$B$6:$B$30,MATCH(LARGE(Comparativo!$R$6:$R$30,A29),Comparativo!$R$6:$R$30,0)),"")</f>
        <v/>
      </c>
      <c r="D29" s="32">
        <f>IFERROR(INDEX(Comparativo!$I$6:$I$30,MATCH(LARGE(Comparativo!$R$6:$R$30,A29),Comparativo!$R$6:$R$30,0)),"")</f>
        <v/>
      </c>
      <c r="E29" s="32">
        <f>IFERROR(INDEX(Comparativo!$J$6:$J$30,MATCH(LARGE(Comparativo!$R$6:$R$30,A29),Comparativo!$R$6:$R$30,0)),"")</f>
        <v/>
      </c>
      <c r="F29" s="33">
        <f>IFERROR(-IFERROR(INDEX(Comparativo!$K$6:$K$30,MATCH(LARGE(Comparativo!$R$6:$R$30,A29),Comparativo!$R$6:$R$30,0)),""),"")</f>
        <v/>
      </c>
      <c r="G29" s="34">
        <f>IFERROR(F29/D29,"")</f>
        <v/>
      </c>
    </row>
    <row r="32" ht="22" customHeight="1">
      <c r="A32" s="35" t="inlineStr">
        <is>
          <t>MAIORES DESVIOS DO ACUMULADO (top 5 acima do orçado)</t>
        </is>
      </c>
    </row>
    <row r="33" ht="30" customHeight="1">
      <c r="A33" s="7" t="inlineStr">
        <is>
          <t>#</t>
        </is>
      </c>
      <c r="B33" s="7" t="inlineStr">
        <is>
          <t>Item</t>
        </is>
      </c>
      <c r="C33" s="7" t="inlineStr">
        <is>
          <t>Departamento</t>
        </is>
      </c>
      <c r="D33" s="7" t="inlineStr">
        <is>
          <t>Planejado acum.</t>
        </is>
      </c>
      <c r="E33" s="7" t="inlineStr">
        <is>
          <t>Realizado acum.</t>
        </is>
      </c>
      <c r="F33" s="7" t="inlineStr">
        <is>
          <t>Desvio (R$)</t>
        </is>
      </c>
      <c r="G33" s="7" t="inlineStr">
        <is>
          <t>Desvio (%)</t>
        </is>
      </c>
      <c r="H33" s="7" t="inlineStr"/>
    </row>
    <row r="34">
      <c r="A34" s="30" t="n">
        <v>1</v>
      </c>
      <c r="B34" s="31">
        <f>IFERROR(INDEX(Comparativo!$D$6:$D$30,MATCH(LARGE(Comparativo!$O$6:$O$30,A34),Comparativo!$O$6:$O$30,0)),"")</f>
        <v/>
      </c>
      <c r="C34" s="31">
        <f>IFERROR(INDEX(Comparativo!$B$6:$B$30,MATCH(LARGE(Comparativo!$O$6:$O$30,A34),Comparativo!$O$6:$O$30,0)),"")</f>
        <v/>
      </c>
      <c r="D34" s="32">
        <f>IFERROR(INDEX(Comparativo!$I$6:$I$30,MATCH(LARGE(Comparativo!$O$6:$O$30,A34),Comparativo!$O$6:$O$30,0)),"")</f>
        <v/>
      </c>
      <c r="E34" s="32">
        <f>IFERROR(INDEX(Comparativo!$J$6:$J$30,MATCH(LARGE(Comparativo!$O$6:$O$30,A34),Comparativo!$O$6:$O$30,0)),"")</f>
        <v/>
      </c>
      <c r="F34" s="32">
        <f>IFERROR(INDEX(Comparativo!$K$6:$K$30,MATCH(LARGE(Comparativo!$O$6:$O$30,A34),Comparativo!$O$6:$O$30,0)),"")</f>
        <v/>
      </c>
      <c r="G34" s="34">
        <f>IFERROR(F34/D34,"")</f>
        <v/>
      </c>
    </row>
    <row r="35">
      <c r="A35" s="30" t="n">
        <v>2</v>
      </c>
      <c r="B35" s="31">
        <f>IFERROR(INDEX(Comparativo!$D$6:$D$30,MATCH(LARGE(Comparativo!$O$6:$O$30,A35),Comparativo!$O$6:$O$30,0)),"")</f>
        <v/>
      </c>
      <c r="C35" s="31">
        <f>IFERROR(INDEX(Comparativo!$B$6:$B$30,MATCH(LARGE(Comparativo!$O$6:$O$30,A35),Comparativo!$O$6:$O$30,0)),"")</f>
        <v/>
      </c>
      <c r="D35" s="32">
        <f>IFERROR(INDEX(Comparativo!$I$6:$I$30,MATCH(LARGE(Comparativo!$O$6:$O$30,A35),Comparativo!$O$6:$O$30,0)),"")</f>
        <v/>
      </c>
      <c r="E35" s="32">
        <f>IFERROR(INDEX(Comparativo!$J$6:$J$30,MATCH(LARGE(Comparativo!$O$6:$O$30,A35),Comparativo!$O$6:$O$30,0)),"")</f>
        <v/>
      </c>
      <c r="F35" s="32">
        <f>IFERROR(INDEX(Comparativo!$K$6:$K$30,MATCH(LARGE(Comparativo!$O$6:$O$30,A35),Comparativo!$O$6:$O$30,0)),"")</f>
        <v/>
      </c>
      <c r="G35" s="34">
        <f>IFERROR(F35/D35,"")</f>
        <v/>
      </c>
    </row>
    <row r="36">
      <c r="A36" s="30" t="n">
        <v>3</v>
      </c>
      <c r="B36" s="31">
        <f>IFERROR(INDEX(Comparativo!$D$6:$D$30,MATCH(LARGE(Comparativo!$O$6:$O$30,A36),Comparativo!$O$6:$O$30,0)),"")</f>
        <v/>
      </c>
      <c r="C36" s="31">
        <f>IFERROR(INDEX(Comparativo!$B$6:$B$30,MATCH(LARGE(Comparativo!$O$6:$O$30,A36),Comparativo!$O$6:$O$30,0)),"")</f>
        <v/>
      </c>
      <c r="D36" s="32">
        <f>IFERROR(INDEX(Comparativo!$I$6:$I$30,MATCH(LARGE(Comparativo!$O$6:$O$30,A36),Comparativo!$O$6:$O$30,0)),"")</f>
        <v/>
      </c>
      <c r="E36" s="32">
        <f>IFERROR(INDEX(Comparativo!$J$6:$J$30,MATCH(LARGE(Comparativo!$O$6:$O$30,A36),Comparativo!$O$6:$O$30,0)),"")</f>
        <v/>
      </c>
      <c r="F36" s="32">
        <f>IFERROR(INDEX(Comparativo!$K$6:$K$30,MATCH(LARGE(Comparativo!$O$6:$O$30,A36),Comparativo!$O$6:$O$30,0)),"")</f>
        <v/>
      </c>
      <c r="G36" s="34">
        <f>IFERROR(F36/D36,"")</f>
        <v/>
      </c>
    </row>
    <row r="37">
      <c r="A37" s="30" t="n">
        <v>4</v>
      </c>
      <c r="B37" s="31">
        <f>IFERROR(INDEX(Comparativo!$D$6:$D$30,MATCH(LARGE(Comparativo!$O$6:$O$30,A37),Comparativo!$O$6:$O$30,0)),"")</f>
        <v/>
      </c>
      <c r="C37" s="31">
        <f>IFERROR(INDEX(Comparativo!$B$6:$B$30,MATCH(LARGE(Comparativo!$O$6:$O$30,A37),Comparativo!$O$6:$O$30,0)),"")</f>
        <v/>
      </c>
      <c r="D37" s="32">
        <f>IFERROR(INDEX(Comparativo!$I$6:$I$30,MATCH(LARGE(Comparativo!$O$6:$O$30,A37),Comparativo!$O$6:$O$30,0)),"")</f>
        <v/>
      </c>
      <c r="E37" s="32">
        <f>IFERROR(INDEX(Comparativo!$J$6:$J$30,MATCH(LARGE(Comparativo!$O$6:$O$30,A37),Comparativo!$O$6:$O$30,0)),"")</f>
        <v/>
      </c>
      <c r="F37" s="32">
        <f>IFERROR(INDEX(Comparativo!$K$6:$K$30,MATCH(LARGE(Comparativo!$O$6:$O$30,A37),Comparativo!$O$6:$O$30,0)),"")</f>
        <v/>
      </c>
      <c r="G37" s="34">
        <f>IFERROR(F37/D37,"")</f>
        <v/>
      </c>
    </row>
    <row r="38">
      <c r="A38" s="30" t="n">
        <v>5</v>
      </c>
      <c r="B38" s="31">
        <f>IFERROR(INDEX(Comparativo!$D$6:$D$30,MATCH(LARGE(Comparativo!$O$6:$O$30,A38),Comparativo!$O$6:$O$30,0)),"")</f>
        <v/>
      </c>
      <c r="C38" s="31">
        <f>IFERROR(INDEX(Comparativo!$B$6:$B$30,MATCH(LARGE(Comparativo!$O$6:$O$30,A38),Comparativo!$O$6:$O$30,0)),"")</f>
        <v/>
      </c>
      <c r="D38" s="32">
        <f>IFERROR(INDEX(Comparativo!$I$6:$I$30,MATCH(LARGE(Comparativo!$O$6:$O$30,A38),Comparativo!$O$6:$O$30,0)),"")</f>
        <v/>
      </c>
      <c r="E38" s="32">
        <f>IFERROR(INDEX(Comparativo!$J$6:$J$30,MATCH(LARGE(Comparativo!$O$6:$O$30,A38),Comparativo!$O$6:$O$30,0)),"")</f>
        <v/>
      </c>
      <c r="F38" s="32">
        <f>IFERROR(INDEX(Comparativo!$K$6:$K$30,MATCH(LARGE(Comparativo!$O$6:$O$30,A38),Comparativo!$O$6:$O$30,0)),"")</f>
        <v/>
      </c>
      <c r="G38" s="34">
        <f>IFERROR(F38/D38,"")</f>
        <v/>
      </c>
    </row>
  </sheetData>
  <mergeCells count="17">
    <mergeCell ref="A15:I15"/>
    <mergeCell ref="D19:I19"/>
    <mergeCell ref="A20:B20"/>
    <mergeCell ref="A16:B16"/>
    <mergeCell ref="A2:I2"/>
    <mergeCell ref="D20:I20"/>
    <mergeCell ref="A19:B19"/>
    <mergeCell ref="D18:I18"/>
    <mergeCell ref="A1:I1"/>
    <mergeCell ref="D17:I17"/>
    <mergeCell ref="A23:I23"/>
    <mergeCell ref="A32:H32"/>
    <mergeCell ref="A17:B17"/>
    <mergeCell ref="A18:B18"/>
    <mergeCell ref="D16:I16"/>
    <mergeCell ref="A4:I4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26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  <col width="16" customWidth="1" min="11" max="11"/>
    <col width="14" customWidth="1" min="12" max="12"/>
    <col width="12" customWidth="1" min="13" max="13"/>
    <col width="17" customWidth="1" min="14" max="14"/>
    <col hidden="1" width="10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0" customHeight="1">
      <c r="A1" s="1" t="inlineStr">
        <is>
          <t>PLANEJADO x REALIZADO  —  linha a linha</t>
        </is>
      </c>
    </row>
    <row r="2" ht="18" customHeight="1">
      <c r="A2" s="2" t="inlineStr">
        <is>
          <t>Escolha o mês de referência em B3. As colunas 'no mês' mostram só aquele mês; as colunas 'acumulado' somam de maio até o mês escolhido. Desvio positivo = gastou ACIMA do orçado.</t>
        </is>
      </c>
    </row>
    <row r="3">
      <c r="A3" s="3" t="inlineStr">
        <is>
          <t>Mês de referência:</t>
        </is>
      </c>
      <c r="B3" s="36" t="inlineStr">
        <is>
          <t>Jul/26</t>
        </is>
      </c>
      <c r="C3" s="37" t="inlineStr">
        <is>
          <t>Mês nº:</t>
        </is>
      </c>
      <c r="D3" s="38">
        <f>MATCH($B$3,Planejado!$H$4:$S$4,0)</f>
        <v/>
      </c>
    </row>
    <row r="5" ht="30" customHeight="1">
      <c r="A5" s="7" t="inlineStr">
        <is>
          <t>ID</t>
        </is>
      </c>
      <c r="B5" s="7" t="inlineStr">
        <is>
          <t>Departamento</t>
        </is>
      </c>
      <c r="C5" s="7" t="inlineStr">
        <is>
          <t>Bloco</t>
        </is>
      </c>
      <c r="D5" s="7" t="inlineStr">
        <is>
          <t>Descrição</t>
        </is>
      </c>
      <c r="E5" s="7" t="inlineStr">
        <is>
          <t>Plano de Contas</t>
        </is>
      </c>
      <c r="F5" s="7" t="inlineStr">
        <is>
          <t>Planejado no mês</t>
        </is>
      </c>
      <c r="G5" s="7" t="inlineStr">
        <is>
          <t>Realizado no mês</t>
        </is>
      </c>
      <c r="H5" s="7" t="inlineStr">
        <is>
          <t>Desvio no mês (R$)</t>
        </is>
      </c>
      <c r="I5" s="7" t="inlineStr">
        <is>
          <t>Planejado acum.</t>
        </is>
      </c>
      <c r="J5" s="7" t="inlineStr">
        <is>
          <t>Realizado acum.</t>
        </is>
      </c>
      <c r="K5" s="7" t="inlineStr">
        <is>
          <t>Desvio acum. (R$)</t>
        </is>
      </c>
      <c r="L5" s="7" t="inlineStr">
        <is>
          <t>Desvio acum. (%)</t>
        </is>
      </c>
      <c r="M5" s="7" t="inlineStr">
        <is>
          <t>% Executado</t>
        </is>
      </c>
      <c r="N5" s="7" t="inlineStr">
        <is>
          <t>Situação</t>
        </is>
      </c>
      <c r="O5" s="39" t="inlineStr">
        <is>
          <t>(aux ranking)</t>
        </is>
      </c>
      <c r="P5" s="39" t="inlineStr">
        <is>
          <t>(aux meses lançados)</t>
        </is>
      </c>
      <c r="Q5" s="39" t="inlineStr">
        <is>
          <t>(aux desvio comparável)</t>
        </is>
      </c>
      <c r="R5" s="39" t="inlineStr">
        <is>
          <t>(aux ranking economia)</t>
        </is>
      </c>
      <c r="S5" s="39" t="inlineStr">
        <is>
          <t>(aux planejado comparável)</t>
        </is>
      </c>
    </row>
    <row r="6" ht="24" customHeight="1">
      <c r="A6" s="40">
        <f>Planejado!A5</f>
        <v/>
      </c>
      <c r="B6" s="40">
        <f>Planejado!B5</f>
        <v/>
      </c>
      <c r="C6" s="40">
        <f>Planejado!C5</f>
        <v/>
      </c>
      <c r="D6" s="41">
        <f>Planejado!D5</f>
        <v/>
      </c>
      <c r="E6" s="40">
        <f>Planejado!G5</f>
        <v/>
      </c>
      <c r="F6" s="42">
        <f>INDEX(Planejado!$H5:$S5,$D$3)</f>
        <v/>
      </c>
      <c r="G6" s="42">
        <f>INDEX(Realizado!$H5:$S5,$D$3)</f>
        <v/>
      </c>
      <c r="H6" s="42">
        <f>G6-F6</f>
        <v/>
      </c>
      <c r="I6" s="42">
        <f>SUMPRODUCT((COLUMN(Planejado!$H$4:$S$4)-COLUMN(Planejado!$H$4)+1&lt;=$D$3)*Planejado!$H5:$S5)</f>
        <v/>
      </c>
      <c r="J6" s="42">
        <f>SUMPRODUCT((COLUMN(Realizado!$H$4:$S$4)-COLUMN(Realizado!$H$4)+1&lt;=$D$3)*Realizado!$H5:$S5)</f>
        <v/>
      </c>
      <c r="K6" s="42">
        <f>J6-I6</f>
        <v/>
      </c>
      <c r="L6" s="43">
        <f>IFERROR(K6/I6,"")</f>
        <v/>
      </c>
      <c r="M6" s="43">
        <f>IFERROR(J6/I6,"")</f>
        <v/>
      </c>
      <c r="N6" s="44">
        <f>IF(P6=0,"Sem lançamento",IF(AND(I6=0,J6=0),"—",IF(I6=0,"Não orçado",IF(K6&gt;0.05*I6,"Acima do orçado",IF(K6&lt;-0.05*I6,"Abaixo do orçado","Dentro do orçado")))))</f>
        <v/>
      </c>
      <c r="O6" s="39">
        <f>IF(K6&gt;1,K6+ROW()/1000000,"")</f>
        <v/>
      </c>
      <c r="P6" s="45">
        <f>SUMPRODUCT((COLUMN(Realizado!$H$4:$S$4)-COLUMN(Realizado!$H$4)+1&lt;=$D$3)*(Realizado!$H5:$S5&lt;&gt;""))</f>
        <v/>
      </c>
      <c r="Q6" s="46">
        <f>IF(P6=0,"",K6)</f>
        <v/>
      </c>
      <c r="R6" s="46">
        <f>IF(AND(Q6&lt;&gt;"",Q6&lt;-1),-Q6+ROW()/1000000,"")</f>
        <v/>
      </c>
      <c r="S6" s="46">
        <f>IF(Q6="","",I6)</f>
        <v/>
      </c>
    </row>
    <row r="7" ht="24" customHeight="1">
      <c r="A7" s="40">
        <f>Planejado!A6</f>
        <v/>
      </c>
      <c r="B7" s="40">
        <f>Planejado!B6</f>
        <v/>
      </c>
      <c r="C7" s="40">
        <f>Planejado!C6</f>
        <v/>
      </c>
      <c r="D7" s="41">
        <f>Planejado!D6</f>
        <v/>
      </c>
      <c r="E7" s="40">
        <f>Planejado!G6</f>
        <v/>
      </c>
      <c r="F7" s="42">
        <f>INDEX(Planejado!$H6:$S6,$D$3)</f>
        <v/>
      </c>
      <c r="G7" s="42">
        <f>INDEX(Realizado!$H6:$S6,$D$3)</f>
        <v/>
      </c>
      <c r="H7" s="42">
        <f>G7-F7</f>
        <v/>
      </c>
      <c r="I7" s="42">
        <f>SUMPRODUCT((COLUMN(Planejado!$H$4:$S$4)-COLUMN(Planejado!$H$4)+1&lt;=$D$3)*Planejado!$H6:$S6)</f>
        <v/>
      </c>
      <c r="J7" s="42">
        <f>SUMPRODUCT((COLUMN(Realizado!$H$4:$S$4)-COLUMN(Realizado!$H$4)+1&lt;=$D$3)*Realizado!$H6:$S6)</f>
        <v/>
      </c>
      <c r="K7" s="42">
        <f>J7-I7</f>
        <v/>
      </c>
      <c r="L7" s="43">
        <f>IFERROR(K7/I7,"")</f>
        <v/>
      </c>
      <c r="M7" s="43">
        <f>IFERROR(J7/I7,"")</f>
        <v/>
      </c>
      <c r="N7" s="44" t="inlineStr">
        <is>
          <t>⚠ Base diferente</t>
        </is>
      </c>
      <c r="O7" s="39">
        <f>IF(K7&gt;1,K7+ROW()/1000000,"")</f>
        <v/>
      </c>
      <c r="P7" s="45">
        <f>SUMPRODUCT((COLUMN(Realizado!$H$4:$S$4)-COLUMN(Realizado!$H$4)+1&lt;=$D$3)*(Realizado!$H6:$S6&lt;&gt;""))</f>
        <v/>
      </c>
      <c r="Q7" s="46" t="n"/>
      <c r="R7" s="46">
        <f>IF(AND(Q7&lt;&gt;"",Q7&lt;-1),-Q7+ROW()/1000000,"")</f>
        <v/>
      </c>
      <c r="S7" s="46">
        <f>IF(Q7="","",I7)</f>
        <v/>
      </c>
    </row>
    <row r="8" ht="24" customHeight="1">
      <c r="A8" s="40">
        <f>Planejado!A7</f>
        <v/>
      </c>
      <c r="B8" s="40">
        <f>Planejado!B7</f>
        <v/>
      </c>
      <c r="C8" s="40">
        <f>Planejado!C7</f>
        <v/>
      </c>
      <c r="D8" s="41">
        <f>Planejado!D7</f>
        <v/>
      </c>
      <c r="E8" s="40">
        <f>Planejado!G7</f>
        <v/>
      </c>
      <c r="F8" s="42">
        <f>INDEX(Planejado!$H7:$S7,$D$3)</f>
        <v/>
      </c>
      <c r="G8" s="42">
        <f>INDEX(Realizado!$H7:$S7,$D$3)</f>
        <v/>
      </c>
      <c r="H8" s="42">
        <f>G8-F8</f>
        <v/>
      </c>
      <c r="I8" s="42">
        <f>SUMPRODUCT((COLUMN(Planejado!$H$4:$S$4)-COLUMN(Planejado!$H$4)+1&lt;=$D$3)*Planejado!$H7:$S7)</f>
        <v/>
      </c>
      <c r="J8" s="42">
        <f>SUMPRODUCT((COLUMN(Realizado!$H$4:$S$4)-COLUMN(Realizado!$H$4)+1&lt;=$D$3)*Realizado!$H7:$S7)</f>
        <v/>
      </c>
      <c r="K8" s="42">
        <f>J8-I8</f>
        <v/>
      </c>
      <c r="L8" s="43">
        <f>IFERROR(K8/I8,"")</f>
        <v/>
      </c>
      <c r="M8" s="43">
        <f>IFERROR(J8/I8,"")</f>
        <v/>
      </c>
      <c r="N8" s="44">
        <f>IF(P8=0,"Sem lançamento",IF(AND(I8=0,J8=0),"—",IF(I8=0,"Não orçado",IF(K8&gt;0.05*I8,"Acima do orçado",IF(K8&lt;-0.05*I8,"Abaixo do orçado","Dentro do orçado")))))</f>
        <v/>
      </c>
      <c r="O8" s="39">
        <f>IF(K8&gt;1,K8+ROW()/1000000,"")</f>
        <v/>
      </c>
      <c r="P8" s="45">
        <f>SUMPRODUCT((COLUMN(Realizado!$H$4:$S$4)-COLUMN(Realizado!$H$4)+1&lt;=$D$3)*(Realizado!$H7:$S7&lt;&gt;""))</f>
        <v/>
      </c>
      <c r="Q8" s="46">
        <f>IF(P8=0,"",K8)</f>
        <v/>
      </c>
      <c r="R8" s="46">
        <f>IF(AND(Q8&lt;&gt;"",Q8&lt;-1),-Q8+ROW()/1000000,"")</f>
        <v/>
      </c>
      <c r="S8" s="46">
        <f>IF(Q8="","",I8)</f>
        <v/>
      </c>
    </row>
    <row r="9" ht="24" customHeight="1">
      <c r="A9" s="40">
        <f>Planejado!A8</f>
        <v/>
      </c>
      <c r="B9" s="40">
        <f>Planejado!B8</f>
        <v/>
      </c>
      <c r="C9" s="40">
        <f>Planejado!C8</f>
        <v/>
      </c>
      <c r="D9" s="41">
        <f>Planejado!D8</f>
        <v/>
      </c>
      <c r="E9" s="40">
        <f>Planejado!G8</f>
        <v/>
      </c>
      <c r="F9" s="42">
        <f>INDEX(Planejado!$H8:$S8,$D$3)</f>
        <v/>
      </c>
      <c r="G9" s="42">
        <f>INDEX(Realizado!$H8:$S8,$D$3)</f>
        <v/>
      </c>
      <c r="H9" s="42">
        <f>G9-F9</f>
        <v/>
      </c>
      <c r="I9" s="42">
        <f>SUMPRODUCT((COLUMN(Planejado!$H$4:$S$4)-COLUMN(Planejado!$H$4)+1&lt;=$D$3)*Planejado!$H8:$S8)</f>
        <v/>
      </c>
      <c r="J9" s="42">
        <f>SUMPRODUCT((COLUMN(Realizado!$H$4:$S$4)-COLUMN(Realizado!$H$4)+1&lt;=$D$3)*Realizado!$H8:$S8)</f>
        <v/>
      </c>
      <c r="K9" s="42">
        <f>J9-I9</f>
        <v/>
      </c>
      <c r="L9" s="43">
        <f>IFERROR(K9/I9,"")</f>
        <v/>
      </c>
      <c r="M9" s="43">
        <f>IFERROR(J9/I9,"")</f>
        <v/>
      </c>
      <c r="N9" s="44">
        <f>IF(P9=0,"Sem lançamento",IF(AND(I9=0,J9=0),"—",IF(I9=0,"Não orçado",IF(K9&gt;0.05*I9,"Acima do orçado",IF(K9&lt;-0.05*I9,"Abaixo do orçado","Dentro do orçado")))))</f>
        <v/>
      </c>
      <c r="O9" s="39">
        <f>IF(K9&gt;1,K9+ROW()/1000000,"")</f>
        <v/>
      </c>
      <c r="P9" s="45">
        <f>SUMPRODUCT((COLUMN(Realizado!$H$4:$S$4)-COLUMN(Realizado!$H$4)+1&lt;=$D$3)*(Realizado!$H8:$S8&lt;&gt;""))</f>
        <v/>
      </c>
      <c r="Q9" s="46">
        <f>IF(P9=0,"",K9)</f>
        <v/>
      </c>
      <c r="R9" s="46">
        <f>IF(AND(Q9&lt;&gt;"",Q9&lt;-1),-Q9+ROW()/1000000,"")</f>
        <v/>
      </c>
      <c r="S9" s="46">
        <f>IF(Q9="","",I9)</f>
        <v/>
      </c>
    </row>
    <row r="10" ht="24" customHeight="1">
      <c r="A10" s="40">
        <f>Planejado!A9</f>
        <v/>
      </c>
      <c r="B10" s="40">
        <f>Planejado!B9</f>
        <v/>
      </c>
      <c r="C10" s="40">
        <f>Planejado!C9</f>
        <v/>
      </c>
      <c r="D10" s="41">
        <f>Planejado!D9</f>
        <v/>
      </c>
      <c r="E10" s="40">
        <f>Planejado!G9</f>
        <v/>
      </c>
      <c r="F10" s="42">
        <f>INDEX(Planejado!$H9:$S9,$D$3)</f>
        <v/>
      </c>
      <c r="G10" s="42">
        <f>INDEX(Realizado!$H9:$S9,$D$3)</f>
        <v/>
      </c>
      <c r="H10" s="42">
        <f>G10-F10</f>
        <v/>
      </c>
      <c r="I10" s="42">
        <f>SUMPRODUCT((COLUMN(Planejado!$H$4:$S$4)-COLUMN(Planejado!$H$4)+1&lt;=$D$3)*Planejado!$H9:$S9)</f>
        <v/>
      </c>
      <c r="J10" s="42">
        <f>SUMPRODUCT((COLUMN(Realizado!$H$4:$S$4)-COLUMN(Realizado!$H$4)+1&lt;=$D$3)*Realizado!$H9:$S9)</f>
        <v/>
      </c>
      <c r="K10" s="42">
        <f>J10-I10</f>
        <v/>
      </c>
      <c r="L10" s="43">
        <f>IFERROR(K10/I10,"")</f>
        <v/>
      </c>
      <c r="M10" s="43">
        <f>IFERROR(J10/I10,"")</f>
        <v/>
      </c>
      <c r="N10" s="44">
        <f>IF(P10=0,"Sem lançamento",IF(AND(I10=0,J10=0),"—",IF(I10=0,"Não orçado",IF(K10&gt;0.05*I10,"Acima do orçado",IF(K10&lt;-0.05*I10,"Abaixo do orçado","Dentro do orçado")))))</f>
        <v/>
      </c>
      <c r="O10" s="39">
        <f>IF(K10&gt;1,K10+ROW()/1000000,"")</f>
        <v/>
      </c>
      <c r="P10" s="45">
        <f>SUMPRODUCT((COLUMN(Realizado!$H$4:$S$4)-COLUMN(Realizado!$H$4)+1&lt;=$D$3)*(Realizado!$H9:$S9&lt;&gt;""))</f>
        <v/>
      </c>
      <c r="Q10" s="46">
        <f>IF(P10=0,"",K10)</f>
        <v/>
      </c>
      <c r="R10" s="46">
        <f>IF(AND(Q10&lt;&gt;"",Q10&lt;-1),-Q10+ROW()/1000000,"")</f>
        <v/>
      </c>
      <c r="S10" s="46">
        <f>IF(Q10="","",I10)</f>
        <v/>
      </c>
    </row>
    <row r="11" ht="24" customHeight="1">
      <c r="A11" s="40">
        <f>Planejado!A10</f>
        <v/>
      </c>
      <c r="B11" s="40">
        <f>Planejado!B10</f>
        <v/>
      </c>
      <c r="C11" s="40">
        <f>Planejado!C10</f>
        <v/>
      </c>
      <c r="D11" s="41">
        <f>Planejado!D10</f>
        <v/>
      </c>
      <c r="E11" s="40">
        <f>Planejado!G10</f>
        <v/>
      </c>
      <c r="F11" s="42">
        <f>INDEX(Planejado!$H10:$S10,$D$3)</f>
        <v/>
      </c>
      <c r="G11" s="42">
        <f>INDEX(Realizado!$H10:$S10,$D$3)</f>
        <v/>
      </c>
      <c r="H11" s="42">
        <f>G11-F11</f>
        <v/>
      </c>
      <c r="I11" s="42">
        <f>SUMPRODUCT((COLUMN(Planejado!$H$4:$S$4)-COLUMN(Planejado!$H$4)+1&lt;=$D$3)*Planejado!$H10:$S10)</f>
        <v/>
      </c>
      <c r="J11" s="42">
        <f>SUMPRODUCT((COLUMN(Realizado!$H$4:$S$4)-COLUMN(Realizado!$H$4)+1&lt;=$D$3)*Realizado!$H10:$S10)</f>
        <v/>
      </c>
      <c r="K11" s="42">
        <f>J11-I11</f>
        <v/>
      </c>
      <c r="L11" s="43">
        <f>IFERROR(K11/I11,"")</f>
        <v/>
      </c>
      <c r="M11" s="43">
        <f>IFERROR(J11/I11,"")</f>
        <v/>
      </c>
      <c r="N11" s="44">
        <f>IF(P11=0,"Sem lançamento",IF(AND(I11=0,J11=0),"—",IF(I11=0,"Não orçado",IF(K11&gt;0.05*I11,"Acima do orçado",IF(K11&lt;-0.05*I11,"Abaixo do orçado","Dentro do orçado")))))</f>
        <v/>
      </c>
      <c r="O11" s="39">
        <f>IF(K11&gt;1,K11+ROW()/1000000,"")</f>
        <v/>
      </c>
      <c r="P11" s="45">
        <f>SUMPRODUCT((COLUMN(Realizado!$H$4:$S$4)-COLUMN(Realizado!$H$4)+1&lt;=$D$3)*(Realizado!$H10:$S10&lt;&gt;""))</f>
        <v/>
      </c>
      <c r="Q11" s="46">
        <f>IF(P11=0,"",K11)</f>
        <v/>
      </c>
      <c r="R11" s="46">
        <f>IF(AND(Q11&lt;&gt;"",Q11&lt;-1),-Q11+ROW()/1000000,"")</f>
        <v/>
      </c>
      <c r="S11" s="46">
        <f>IF(Q11="","",I11)</f>
        <v/>
      </c>
    </row>
    <row r="12" ht="24" customHeight="1">
      <c r="A12" s="40">
        <f>Planejado!A11</f>
        <v/>
      </c>
      <c r="B12" s="40">
        <f>Planejado!B11</f>
        <v/>
      </c>
      <c r="C12" s="40">
        <f>Planejado!C11</f>
        <v/>
      </c>
      <c r="D12" s="41">
        <f>Planejado!D11</f>
        <v/>
      </c>
      <c r="E12" s="40">
        <f>Planejado!G11</f>
        <v/>
      </c>
      <c r="F12" s="42">
        <f>INDEX(Planejado!$H11:$S11,$D$3)</f>
        <v/>
      </c>
      <c r="G12" s="42">
        <f>INDEX(Realizado!$H11:$S11,$D$3)</f>
        <v/>
      </c>
      <c r="H12" s="42">
        <f>G12-F12</f>
        <v/>
      </c>
      <c r="I12" s="42">
        <f>SUMPRODUCT((COLUMN(Planejado!$H$4:$S$4)-COLUMN(Planejado!$H$4)+1&lt;=$D$3)*Planejado!$H11:$S11)</f>
        <v/>
      </c>
      <c r="J12" s="42">
        <f>SUMPRODUCT((COLUMN(Realizado!$H$4:$S$4)-COLUMN(Realizado!$H$4)+1&lt;=$D$3)*Realizado!$H11:$S11)</f>
        <v/>
      </c>
      <c r="K12" s="42">
        <f>J12-I12</f>
        <v/>
      </c>
      <c r="L12" s="43">
        <f>IFERROR(K12/I12,"")</f>
        <v/>
      </c>
      <c r="M12" s="43">
        <f>IFERROR(J12/I12,"")</f>
        <v/>
      </c>
      <c r="N12" s="44">
        <f>IF(P12=0,"Sem lançamento",IF(AND(I12=0,J12=0),"—",IF(I12=0,"Não orçado",IF(K12&gt;0.05*I12,"Acima do orçado",IF(K12&lt;-0.05*I12,"Abaixo do orçado","Dentro do orçado")))))</f>
        <v/>
      </c>
      <c r="O12" s="39">
        <f>IF(K12&gt;1,K12+ROW()/1000000,"")</f>
        <v/>
      </c>
      <c r="P12" s="45">
        <f>SUMPRODUCT((COLUMN(Realizado!$H$4:$S$4)-COLUMN(Realizado!$H$4)+1&lt;=$D$3)*(Realizado!$H11:$S11&lt;&gt;""))</f>
        <v/>
      </c>
      <c r="Q12" s="46">
        <f>IF(P12=0,"",K12)</f>
        <v/>
      </c>
      <c r="R12" s="46">
        <f>IF(AND(Q12&lt;&gt;"",Q12&lt;-1),-Q12+ROW()/1000000,"")</f>
        <v/>
      </c>
      <c r="S12" s="46">
        <f>IF(Q12="","",I12)</f>
        <v/>
      </c>
    </row>
    <row r="13" ht="24" customHeight="1">
      <c r="A13" s="40">
        <f>Planejado!A12</f>
        <v/>
      </c>
      <c r="B13" s="40">
        <f>Planejado!B12</f>
        <v/>
      </c>
      <c r="C13" s="40">
        <f>Planejado!C12</f>
        <v/>
      </c>
      <c r="D13" s="41">
        <f>Planejado!D12</f>
        <v/>
      </c>
      <c r="E13" s="40">
        <f>Planejado!G12</f>
        <v/>
      </c>
      <c r="F13" s="42">
        <f>INDEX(Planejado!$H12:$S12,$D$3)</f>
        <v/>
      </c>
      <c r="G13" s="42">
        <f>INDEX(Realizado!$H12:$S12,$D$3)</f>
        <v/>
      </c>
      <c r="H13" s="42">
        <f>G13-F13</f>
        <v/>
      </c>
      <c r="I13" s="42">
        <f>SUMPRODUCT((COLUMN(Planejado!$H$4:$S$4)-COLUMN(Planejado!$H$4)+1&lt;=$D$3)*Planejado!$H12:$S12)</f>
        <v/>
      </c>
      <c r="J13" s="42">
        <f>SUMPRODUCT((COLUMN(Realizado!$H$4:$S$4)-COLUMN(Realizado!$H$4)+1&lt;=$D$3)*Realizado!$H12:$S12)</f>
        <v/>
      </c>
      <c r="K13" s="42">
        <f>J13-I13</f>
        <v/>
      </c>
      <c r="L13" s="43">
        <f>IFERROR(K13/I13,"")</f>
        <v/>
      </c>
      <c r="M13" s="43">
        <f>IFERROR(J13/I13,"")</f>
        <v/>
      </c>
      <c r="N13" s="44">
        <f>IF(P13=0,"Sem lançamento",IF(AND(I13=0,J13=0),"—",IF(I13=0,"Não orçado",IF(K13&gt;0.05*I13,"Acima do orçado",IF(K13&lt;-0.05*I13,"Abaixo do orçado","Dentro do orçado")))))</f>
        <v/>
      </c>
      <c r="O13" s="39">
        <f>IF(K13&gt;1,K13+ROW()/1000000,"")</f>
        <v/>
      </c>
      <c r="P13" s="45">
        <f>SUMPRODUCT((COLUMN(Realizado!$H$4:$S$4)-COLUMN(Realizado!$H$4)+1&lt;=$D$3)*(Realizado!$H12:$S12&lt;&gt;""))</f>
        <v/>
      </c>
      <c r="Q13" s="46">
        <f>IF(P13=0,"",K13)</f>
        <v/>
      </c>
      <c r="R13" s="46">
        <f>IF(AND(Q13&lt;&gt;"",Q13&lt;-1),-Q13+ROW()/1000000,"")</f>
        <v/>
      </c>
      <c r="S13" s="46">
        <f>IF(Q13="","",I13)</f>
        <v/>
      </c>
    </row>
    <row r="14" ht="24" customHeight="1">
      <c r="A14" s="40">
        <f>Planejado!A13</f>
        <v/>
      </c>
      <c r="B14" s="40">
        <f>Planejado!B13</f>
        <v/>
      </c>
      <c r="C14" s="40">
        <f>Planejado!C13</f>
        <v/>
      </c>
      <c r="D14" s="41">
        <f>Planejado!D13</f>
        <v/>
      </c>
      <c r="E14" s="40">
        <f>Planejado!G13</f>
        <v/>
      </c>
      <c r="F14" s="42">
        <f>INDEX(Planejado!$H13:$S13,$D$3)</f>
        <v/>
      </c>
      <c r="G14" s="42">
        <f>INDEX(Realizado!$H13:$S13,$D$3)</f>
        <v/>
      </c>
      <c r="H14" s="42">
        <f>G14-F14</f>
        <v/>
      </c>
      <c r="I14" s="42">
        <f>SUMPRODUCT((COLUMN(Planejado!$H$4:$S$4)-COLUMN(Planejado!$H$4)+1&lt;=$D$3)*Planejado!$H13:$S13)</f>
        <v/>
      </c>
      <c r="J14" s="42">
        <f>SUMPRODUCT((COLUMN(Realizado!$H$4:$S$4)-COLUMN(Realizado!$H$4)+1&lt;=$D$3)*Realizado!$H13:$S13)</f>
        <v/>
      </c>
      <c r="K14" s="42">
        <f>J14-I14</f>
        <v/>
      </c>
      <c r="L14" s="43">
        <f>IFERROR(K14/I14,"")</f>
        <v/>
      </c>
      <c r="M14" s="43">
        <f>IFERROR(J14/I14,"")</f>
        <v/>
      </c>
      <c r="N14" s="44">
        <f>IF(P14=0,"Sem lançamento",IF(AND(I14=0,J14=0),"—",IF(I14=0,"Não orçado",IF(K14&gt;0.05*I14,"Acima do orçado",IF(K14&lt;-0.05*I14,"Abaixo do orçado","Dentro do orçado")))))</f>
        <v/>
      </c>
      <c r="O14" s="39">
        <f>IF(K14&gt;1,K14+ROW()/1000000,"")</f>
        <v/>
      </c>
      <c r="P14" s="45">
        <f>SUMPRODUCT((COLUMN(Realizado!$H$4:$S$4)-COLUMN(Realizado!$H$4)+1&lt;=$D$3)*(Realizado!$H13:$S13&lt;&gt;""))</f>
        <v/>
      </c>
      <c r="Q14" s="46">
        <f>IF(P14=0,"",K14)</f>
        <v/>
      </c>
      <c r="R14" s="46">
        <f>IF(AND(Q14&lt;&gt;"",Q14&lt;-1),-Q14+ROW()/1000000,"")</f>
        <v/>
      </c>
      <c r="S14" s="46">
        <f>IF(Q14="","",I14)</f>
        <v/>
      </c>
    </row>
    <row r="15" ht="24" customHeight="1">
      <c r="A15" s="47">
        <f>Planejado!A14</f>
        <v/>
      </c>
      <c r="B15" s="47">
        <f>Planejado!B14</f>
        <v/>
      </c>
      <c r="C15" s="47">
        <f>Planejado!C14</f>
        <v/>
      </c>
      <c r="D15" s="48">
        <f>Planejado!D14</f>
        <v/>
      </c>
      <c r="E15" s="47">
        <f>Planejado!G14</f>
        <v/>
      </c>
      <c r="F15" s="49">
        <f>INDEX(Planejado!$H14:$S14,$D$3)</f>
        <v/>
      </c>
      <c r="G15" s="49">
        <f>INDEX(Realizado!$H14:$S14,$D$3)</f>
        <v/>
      </c>
      <c r="H15" s="49">
        <f>G15-F15</f>
        <v/>
      </c>
      <c r="I15" s="49">
        <f>SUMPRODUCT((COLUMN(Planejado!$H$4:$S$4)-COLUMN(Planejado!$H$4)+1&lt;=$D$3)*Planejado!$H14:$S14)</f>
        <v/>
      </c>
      <c r="J15" s="49">
        <f>SUMPRODUCT((COLUMN(Realizado!$H$4:$S$4)-COLUMN(Realizado!$H$4)+1&lt;=$D$3)*Realizado!$H14:$S14)</f>
        <v/>
      </c>
      <c r="K15" s="49">
        <f>J15-I15</f>
        <v/>
      </c>
      <c r="L15" s="50">
        <f>IFERROR(K15/I15,"")</f>
        <v/>
      </c>
      <c r="M15" s="50">
        <f>IFERROR(J15/I15,"")</f>
        <v/>
      </c>
      <c r="N15" s="51">
        <f>IF(P15=0,"Sem lançamento",IF(AND(I15=0,J15=0),"—",IF(I15=0,"Não orçado",IF(K15&gt;0.05*I15,"Acima do orçado",IF(K15&lt;-0.05*I15,"Abaixo do orçado","Dentro do orçado")))))</f>
        <v/>
      </c>
      <c r="O15" s="39">
        <f>IF(K15&gt;1,K15+ROW()/1000000,"")</f>
        <v/>
      </c>
      <c r="P15" s="52">
        <f>SUMPRODUCT((COLUMN(Realizado!$H$4:$S$4)-COLUMN(Realizado!$H$4)+1&lt;=$D$3)*(Realizado!$H14:$S14&lt;&gt;""))</f>
        <v/>
      </c>
      <c r="Q15" s="46">
        <f>IF(P15=0,"",K15)</f>
        <v/>
      </c>
      <c r="R15" s="46">
        <f>IF(AND(Q15&lt;&gt;"",Q15&lt;-1),-Q15+ROW()/1000000,"")</f>
        <v/>
      </c>
      <c r="S15" s="46">
        <f>IF(Q15="","",I15)</f>
        <v/>
      </c>
    </row>
    <row r="16" ht="24" customHeight="1">
      <c r="A16" s="47">
        <f>Planejado!A15</f>
        <v/>
      </c>
      <c r="B16" s="47">
        <f>Planejado!B15</f>
        <v/>
      </c>
      <c r="C16" s="47">
        <f>Planejado!C15</f>
        <v/>
      </c>
      <c r="D16" s="48">
        <f>Planejado!D15</f>
        <v/>
      </c>
      <c r="E16" s="47">
        <f>Planejado!G15</f>
        <v/>
      </c>
      <c r="F16" s="49">
        <f>INDEX(Planejado!$H15:$S15,$D$3)</f>
        <v/>
      </c>
      <c r="G16" s="49">
        <f>INDEX(Realizado!$H15:$S15,$D$3)</f>
        <v/>
      </c>
      <c r="H16" s="49">
        <f>G16-F16</f>
        <v/>
      </c>
      <c r="I16" s="49">
        <f>SUMPRODUCT((COLUMN(Planejado!$H$4:$S$4)-COLUMN(Planejado!$H$4)+1&lt;=$D$3)*Planejado!$H15:$S15)</f>
        <v/>
      </c>
      <c r="J16" s="49">
        <f>SUMPRODUCT((COLUMN(Realizado!$H$4:$S$4)-COLUMN(Realizado!$H$4)+1&lt;=$D$3)*Realizado!$H15:$S15)</f>
        <v/>
      </c>
      <c r="K16" s="49">
        <f>J16-I16</f>
        <v/>
      </c>
      <c r="L16" s="50">
        <f>IFERROR(K16/I16,"")</f>
        <v/>
      </c>
      <c r="M16" s="50">
        <f>IFERROR(J16/I16,"")</f>
        <v/>
      </c>
      <c r="N16" s="51">
        <f>IF(P16=0,"Sem lançamento",IF(AND(I16=0,J16=0),"—",IF(I16=0,"Não orçado",IF(K16&gt;0.05*I16,"Acima do orçado",IF(K16&lt;-0.05*I16,"Abaixo do orçado","Dentro do orçado")))))</f>
        <v/>
      </c>
      <c r="O16" s="39">
        <f>IF(K16&gt;1,K16+ROW()/1000000,"")</f>
        <v/>
      </c>
      <c r="P16" s="52">
        <f>SUMPRODUCT((COLUMN(Realizado!$H$4:$S$4)-COLUMN(Realizado!$H$4)+1&lt;=$D$3)*(Realizado!$H15:$S15&lt;&gt;""))</f>
        <v/>
      </c>
      <c r="Q16" s="46">
        <f>IF(P16=0,"",K16)</f>
        <v/>
      </c>
      <c r="R16" s="46">
        <f>IF(AND(Q16&lt;&gt;"",Q16&lt;-1),-Q16+ROW()/1000000,"")</f>
        <v/>
      </c>
      <c r="S16" s="46">
        <f>IF(Q16="","",I16)</f>
        <v/>
      </c>
    </row>
    <row r="17" ht="24" customHeight="1">
      <c r="A17" s="47">
        <f>Planejado!A16</f>
        <v/>
      </c>
      <c r="B17" s="47">
        <f>Planejado!B16</f>
        <v/>
      </c>
      <c r="C17" s="47">
        <f>Planejado!C16</f>
        <v/>
      </c>
      <c r="D17" s="48">
        <f>Planejado!D16</f>
        <v/>
      </c>
      <c r="E17" s="47">
        <f>Planejado!G16</f>
        <v/>
      </c>
      <c r="F17" s="49">
        <f>INDEX(Planejado!$H16:$S16,$D$3)</f>
        <v/>
      </c>
      <c r="G17" s="49">
        <f>INDEX(Realizado!$H16:$S16,$D$3)</f>
        <v/>
      </c>
      <c r="H17" s="49">
        <f>G17-F17</f>
        <v/>
      </c>
      <c r="I17" s="49">
        <f>SUMPRODUCT((COLUMN(Planejado!$H$4:$S$4)-COLUMN(Planejado!$H$4)+1&lt;=$D$3)*Planejado!$H16:$S16)</f>
        <v/>
      </c>
      <c r="J17" s="49">
        <f>SUMPRODUCT((COLUMN(Realizado!$H$4:$S$4)-COLUMN(Realizado!$H$4)+1&lt;=$D$3)*Realizado!$H16:$S16)</f>
        <v/>
      </c>
      <c r="K17" s="49">
        <f>J17-I17</f>
        <v/>
      </c>
      <c r="L17" s="50">
        <f>IFERROR(K17/I17,"")</f>
        <v/>
      </c>
      <c r="M17" s="50">
        <f>IFERROR(J17/I17,"")</f>
        <v/>
      </c>
      <c r="N17" s="51">
        <f>IF(P17=0,"Sem lançamento",IF(AND(I17=0,J17=0),"—",IF(I17=0,"Não orçado",IF(K17&gt;0.05*I17,"Acima do orçado",IF(K17&lt;-0.05*I17,"Abaixo do orçado","Dentro do orçado")))))</f>
        <v/>
      </c>
      <c r="O17" s="39">
        <f>IF(K17&gt;1,K17+ROW()/1000000,"")</f>
        <v/>
      </c>
      <c r="P17" s="52">
        <f>SUMPRODUCT((COLUMN(Realizado!$H$4:$S$4)-COLUMN(Realizado!$H$4)+1&lt;=$D$3)*(Realizado!$H16:$S16&lt;&gt;""))</f>
        <v/>
      </c>
      <c r="Q17" s="46">
        <f>IF(P17=0,"",K17)</f>
        <v/>
      </c>
      <c r="R17" s="46">
        <f>IF(AND(Q17&lt;&gt;"",Q17&lt;-1),-Q17+ROW()/1000000,"")</f>
        <v/>
      </c>
      <c r="S17" s="46">
        <f>IF(Q17="","",I17)</f>
        <v/>
      </c>
    </row>
    <row r="18" ht="24" customHeight="1">
      <c r="A18" s="47">
        <f>Planejado!A17</f>
        <v/>
      </c>
      <c r="B18" s="47">
        <f>Planejado!B17</f>
        <v/>
      </c>
      <c r="C18" s="47">
        <f>Planejado!C17</f>
        <v/>
      </c>
      <c r="D18" s="48">
        <f>Planejado!D17</f>
        <v/>
      </c>
      <c r="E18" s="47">
        <f>Planejado!G17</f>
        <v/>
      </c>
      <c r="F18" s="49">
        <f>INDEX(Planejado!$H17:$S17,$D$3)</f>
        <v/>
      </c>
      <c r="G18" s="49">
        <f>INDEX(Realizado!$H17:$S17,$D$3)</f>
        <v/>
      </c>
      <c r="H18" s="49">
        <f>G18-F18</f>
        <v/>
      </c>
      <c r="I18" s="49">
        <f>SUMPRODUCT((COLUMN(Planejado!$H$4:$S$4)-COLUMN(Planejado!$H$4)+1&lt;=$D$3)*Planejado!$H17:$S17)</f>
        <v/>
      </c>
      <c r="J18" s="49">
        <f>SUMPRODUCT((COLUMN(Realizado!$H$4:$S$4)-COLUMN(Realizado!$H$4)+1&lt;=$D$3)*Realizado!$H17:$S17)</f>
        <v/>
      </c>
      <c r="K18" s="49">
        <f>J18-I18</f>
        <v/>
      </c>
      <c r="L18" s="50">
        <f>IFERROR(K18/I18,"")</f>
        <v/>
      </c>
      <c r="M18" s="50">
        <f>IFERROR(J18/I18,"")</f>
        <v/>
      </c>
      <c r="N18" s="51">
        <f>IF(P18=0,"Sem lançamento",IF(AND(I18=0,J18=0),"—",IF(I18=0,"Não orçado",IF(K18&gt;0.05*I18,"Acima do orçado",IF(K18&lt;-0.05*I18,"Abaixo do orçado","Dentro do orçado")))))</f>
        <v/>
      </c>
      <c r="O18" s="39">
        <f>IF(K18&gt;1,K18+ROW()/1000000,"")</f>
        <v/>
      </c>
      <c r="P18" s="52">
        <f>SUMPRODUCT((COLUMN(Realizado!$H$4:$S$4)-COLUMN(Realizado!$H$4)+1&lt;=$D$3)*(Realizado!$H17:$S17&lt;&gt;""))</f>
        <v/>
      </c>
      <c r="Q18" s="46">
        <f>IF(P18=0,"",K18)</f>
        <v/>
      </c>
      <c r="R18" s="46">
        <f>IF(AND(Q18&lt;&gt;"",Q18&lt;-1),-Q18+ROW()/1000000,"")</f>
        <v/>
      </c>
      <c r="S18" s="46">
        <f>IF(Q18="","",I18)</f>
        <v/>
      </c>
    </row>
    <row r="19" ht="24" customHeight="1">
      <c r="A19" s="47">
        <f>Planejado!A18</f>
        <v/>
      </c>
      <c r="B19" s="47">
        <f>Planejado!B18</f>
        <v/>
      </c>
      <c r="C19" s="47">
        <f>Planejado!C18</f>
        <v/>
      </c>
      <c r="D19" s="48">
        <f>Planejado!D18</f>
        <v/>
      </c>
      <c r="E19" s="47">
        <f>Planejado!G18</f>
        <v/>
      </c>
      <c r="F19" s="49">
        <f>INDEX(Planejado!$H18:$S18,$D$3)</f>
        <v/>
      </c>
      <c r="G19" s="49">
        <f>INDEX(Realizado!$H18:$S18,$D$3)</f>
        <v/>
      </c>
      <c r="H19" s="49">
        <f>G19-F19</f>
        <v/>
      </c>
      <c r="I19" s="49">
        <f>SUMPRODUCT((COLUMN(Planejado!$H$4:$S$4)-COLUMN(Planejado!$H$4)+1&lt;=$D$3)*Planejado!$H18:$S18)</f>
        <v/>
      </c>
      <c r="J19" s="49">
        <f>SUMPRODUCT((COLUMN(Realizado!$H$4:$S$4)-COLUMN(Realizado!$H$4)+1&lt;=$D$3)*Realizado!$H18:$S18)</f>
        <v/>
      </c>
      <c r="K19" s="49">
        <f>J19-I19</f>
        <v/>
      </c>
      <c r="L19" s="50">
        <f>IFERROR(K19/I19,"")</f>
        <v/>
      </c>
      <c r="M19" s="50">
        <f>IFERROR(J19/I19,"")</f>
        <v/>
      </c>
      <c r="N19" s="51">
        <f>IF(P19=0,"Sem lançamento",IF(AND(I19=0,J19=0),"—",IF(I19=0,"Não orçado",IF(K19&gt;0.05*I19,"Acima do orçado",IF(K19&lt;-0.05*I19,"Abaixo do orçado","Dentro do orçado")))))</f>
        <v/>
      </c>
      <c r="O19" s="39">
        <f>IF(K19&gt;1,K19+ROW()/1000000,"")</f>
        <v/>
      </c>
      <c r="P19" s="52">
        <f>SUMPRODUCT((COLUMN(Realizado!$H$4:$S$4)-COLUMN(Realizado!$H$4)+1&lt;=$D$3)*(Realizado!$H18:$S18&lt;&gt;""))</f>
        <v/>
      </c>
      <c r="Q19" s="46">
        <f>IF(P19=0,"",K19)</f>
        <v/>
      </c>
      <c r="R19" s="46">
        <f>IF(AND(Q19&lt;&gt;"",Q19&lt;-1),-Q19+ROW()/1000000,"")</f>
        <v/>
      </c>
      <c r="S19" s="46">
        <f>IF(Q19="","",I19)</f>
        <v/>
      </c>
    </row>
    <row r="20" ht="24" customHeight="1">
      <c r="A20" s="47">
        <f>Planejado!A19</f>
        <v/>
      </c>
      <c r="B20" s="47">
        <f>Planejado!B19</f>
        <v/>
      </c>
      <c r="C20" s="47">
        <f>Planejado!C19</f>
        <v/>
      </c>
      <c r="D20" s="48">
        <f>Planejado!D19</f>
        <v/>
      </c>
      <c r="E20" s="47">
        <f>Planejado!G19</f>
        <v/>
      </c>
      <c r="F20" s="49">
        <f>INDEX(Planejado!$H19:$S19,$D$3)</f>
        <v/>
      </c>
      <c r="G20" s="49">
        <f>INDEX(Realizado!$H19:$S19,$D$3)</f>
        <v/>
      </c>
      <c r="H20" s="49">
        <f>G20-F20</f>
        <v/>
      </c>
      <c r="I20" s="49">
        <f>SUMPRODUCT((COLUMN(Planejado!$H$4:$S$4)-COLUMN(Planejado!$H$4)+1&lt;=$D$3)*Planejado!$H19:$S19)</f>
        <v/>
      </c>
      <c r="J20" s="49">
        <f>SUMPRODUCT((COLUMN(Realizado!$H$4:$S$4)-COLUMN(Realizado!$H$4)+1&lt;=$D$3)*Realizado!$H19:$S19)</f>
        <v/>
      </c>
      <c r="K20" s="49">
        <f>J20-I20</f>
        <v/>
      </c>
      <c r="L20" s="50">
        <f>IFERROR(K20/I20,"")</f>
        <v/>
      </c>
      <c r="M20" s="50">
        <f>IFERROR(J20/I20,"")</f>
        <v/>
      </c>
      <c r="N20" s="51">
        <f>IF(P20=0,"Sem lançamento",IF(AND(I20=0,J20=0),"—",IF(I20=0,"Não orçado",IF(K20&gt;0.05*I20,"Acima do orçado",IF(K20&lt;-0.05*I20,"Abaixo do orçado","Dentro do orçado")))))</f>
        <v/>
      </c>
      <c r="O20" s="39">
        <f>IF(K20&gt;1,K20+ROW()/1000000,"")</f>
        <v/>
      </c>
      <c r="P20" s="52">
        <f>SUMPRODUCT((COLUMN(Realizado!$H$4:$S$4)-COLUMN(Realizado!$H$4)+1&lt;=$D$3)*(Realizado!$H19:$S19&lt;&gt;""))</f>
        <v/>
      </c>
      <c r="Q20" s="46">
        <f>IF(P20=0,"",K20)</f>
        <v/>
      </c>
      <c r="R20" s="46">
        <f>IF(AND(Q20&lt;&gt;"",Q20&lt;-1),-Q20+ROW()/1000000,"")</f>
        <v/>
      </c>
      <c r="S20" s="46">
        <f>IF(Q20="","",I20)</f>
        <v/>
      </c>
    </row>
    <row r="21" ht="24" customHeight="1">
      <c r="A21" s="47">
        <f>Planejado!A20</f>
        <v/>
      </c>
      <c r="B21" s="47">
        <f>Planejado!B20</f>
        <v/>
      </c>
      <c r="C21" s="47">
        <f>Planejado!C20</f>
        <v/>
      </c>
      <c r="D21" s="48">
        <f>Planejado!D20</f>
        <v/>
      </c>
      <c r="E21" s="47">
        <f>Planejado!G20</f>
        <v/>
      </c>
      <c r="F21" s="49">
        <f>INDEX(Planejado!$H20:$S20,$D$3)</f>
        <v/>
      </c>
      <c r="G21" s="49">
        <f>INDEX(Realizado!$H20:$S20,$D$3)</f>
        <v/>
      </c>
      <c r="H21" s="49">
        <f>G21-F21</f>
        <v/>
      </c>
      <c r="I21" s="49">
        <f>SUMPRODUCT((COLUMN(Planejado!$H$4:$S$4)-COLUMN(Planejado!$H$4)+1&lt;=$D$3)*Planejado!$H20:$S20)</f>
        <v/>
      </c>
      <c r="J21" s="49">
        <f>SUMPRODUCT((COLUMN(Realizado!$H$4:$S$4)-COLUMN(Realizado!$H$4)+1&lt;=$D$3)*Realizado!$H20:$S20)</f>
        <v/>
      </c>
      <c r="K21" s="49">
        <f>J21-I21</f>
        <v/>
      </c>
      <c r="L21" s="50">
        <f>IFERROR(K21/I21,"")</f>
        <v/>
      </c>
      <c r="M21" s="50">
        <f>IFERROR(J21/I21,"")</f>
        <v/>
      </c>
      <c r="N21" s="51">
        <f>IF(P21=0,"Sem lançamento",IF(AND(I21=0,J21=0),"—",IF(I21=0,"Não orçado",IF(K21&gt;0.05*I21,"Acima do orçado",IF(K21&lt;-0.05*I21,"Abaixo do orçado","Dentro do orçado")))))</f>
        <v/>
      </c>
      <c r="O21" s="39">
        <f>IF(K21&gt;1,K21+ROW()/1000000,"")</f>
        <v/>
      </c>
      <c r="P21" s="52">
        <f>SUMPRODUCT((COLUMN(Realizado!$H$4:$S$4)-COLUMN(Realizado!$H$4)+1&lt;=$D$3)*(Realizado!$H20:$S20&lt;&gt;""))</f>
        <v/>
      </c>
      <c r="Q21" s="46">
        <f>IF(P21=0,"",K21)</f>
        <v/>
      </c>
      <c r="R21" s="46">
        <f>IF(AND(Q21&lt;&gt;"",Q21&lt;-1),-Q21+ROW()/1000000,"")</f>
        <v/>
      </c>
      <c r="S21" s="46">
        <f>IF(Q21="","",I21)</f>
        <v/>
      </c>
    </row>
    <row r="22" ht="24" customHeight="1">
      <c r="A22" s="47">
        <f>Planejado!A21</f>
        <v/>
      </c>
      <c r="B22" s="47">
        <f>Planejado!B21</f>
        <v/>
      </c>
      <c r="C22" s="47">
        <f>Planejado!C21</f>
        <v/>
      </c>
      <c r="D22" s="48">
        <f>Planejado!D21</f>
        <v/>
      </c>
      <c r="E22" s="47">
        <f>Planejado!G21</f>
        <v/>
      </c>
      <c r="F22" s="49">
        <f>INDEX(Planejado!$H21:$S21,$D$3)</f>
        <v/>
      </c>
      <c r="G22" s="49">
        <f>INDEX(Realizado!$H21:$S21,$D$3)</f>
        <v/>
      </c>
      <c r="H22" s="49">
        <f>G22-F22</f>
        <v/>
      </c>
      <c r="I22" s="49">
        <f>SUMPRODUCT((COLUMN(Planejado!$H$4:$S$4)-COLUMN(Planejado!$H$4)+1&lt;=$D$3)*Planejado!$H21:$S21)</f>
        <v/>
      </c>
      <c r="J22" s="49">
        <f>SUMPRODUCT((COLUMN(Realizado!$H$4:$S$4)-COLUMN(Realizado!$H$4)+1&lt;=$D$3)*Realizado!$H21:$S21)</f>
        <v/>
      </c>
      <c r="K22" s="49">
        <f>J22-I22</f>
        <v/>
      </c>
      <c r="L22" s="50">
        <f>IFERROR(K22/I22,"")</f>
        <v/>
      </c>
      <c r="M22" s="50">
        <f>IFERROR(J22/I22,"")</f>
        <v/>
      </c>
      <c r="N22" s="51">
        <f>IF(P22=0,"Sem lançamento",IF(AND(I22=0,J22=0),"—",IF(I22=0,"Não orçado",IF(K22&gt;0.05*I22,"Acima do orçado",IF(K22&lt;-0.05*I22,"Abaixo do orçado","Dentro do orçado")))))</f>
        <v/>
      </c>
      <c r="O22" s="39">
        <f>IF(K22&gt;1,K22+ROW()/1000000,"")</f>
        <v/>
      </c>
      <c r="P22" s="52">
        <f>SUMPRODUCT((COLUMN(Realizado!$H$4:$S$4)-COLUMN(Realizado!$H$4)+1&lt;=$D$3)*(Realizado!$H21:$S21&lt;&gt;""))</f>
        <v/>
      </c>
      <c r="Q22" s="46">
        <f>IF(P22=0,"",K22)</f>
        <v/>
      </c>
      <c r="R22" s="46">
        <f>IF(AND(Q22&lt;&gt;"",Q22&lt;-1),-Q22+ROW()/1000000,"")</f>
        <v/>
      </c>
      <c r="S22" s="46">
        <f>IF(Q22="","",I22)</f>
        <v/>
      </c>
    </row>
    <row r="23" ht="24" customHeight="1">
      <c r="A23" s="47">
        <f>Planejado!A22</f>
        <v/>
      </c>
      <c r="B23" s="47">
        <f>Planejado!B22</f>
        <v/>
      </c>
      <c r="C23" s="47">
        <f>Planejado!C22</f>
        <v/>
      </c>
      <c r="D23" s="48">
        <f>Planejado!D22</f>
        <v/>
      </c>
      <c r="E23" s="47">
        <f>Planejado!G22</f>
        <v/>
      </c>
      <c r="F23" s="49">
        <f>INDEX(Planejado!$H22:$S22,$D$3)</f>
        <v/>
      </c>
      <c r="G23" s="49">
        <f>INDEX(Realizado!$H22:$S22,$D$3)</f>
        <v/>
      </c>
      <c r="H23" s="49">
        <f>G23-F23</f>
        <v/>
      </c>
      <c r="I23" s="49">
        <f>SUMPRODUCT((COLUMN(Planejado!$H$4:$S$4)-COLUMN(Planejado!$H$4)+1&lt;=$D$3)*Planejado!$H22:$S22)</f>
        <v/>
      </c>
      <c r="J23" s="49">
        <f>SUMPRODUCT((COLUMN(Realizado!$H$4:$S$4)-COLUMN(Realizado!$H$4)+1&lt;=$D$3)*Realizado!$H22:$S22)</f>
        <v/>
      </c>
      <c r="K23" s="49">
        <f>J23-I23</f>
        <v/>
      </c>
      <c r="L23" s="50">
        <f>IFERROR(K23/I23,"")</f>
        <v/>
      </c>
      <c r="M23" s="50">
        <f>IFERROR(J23/I23,"")</f>
        <v/>
      </c>
      <c r="N23" s="51">
        <f>IF(P23=0,"Sem lançamento",IF(AND(I23=0,J23=0),"—",IF(I23=0,"Não orçado",IF(K23&gt;0.05*I23,"Acima do orçado",IF(K23&lt;-0.05*I23,"Abaixo do orçado","Dentro do orçado")))))</f>
        <v/>
      </c>
      <c r="O23" s="39">
        <f>IF(K23&gt;1,K23+ROW()/1000000,"")</f>
        <v/>
      </c>
      <c r="P23" s="52">
        <f>SUMPRODUCT((COLUMN(Realizado!$H$4:$S$4)-COLUMN(Realizado!$H$4)+1&lt;=$D$3)*(Realizado!$H22:$S22&lt;&gt;""))</f>
        <v/>
      </c>
      <c r="Q23" s="46">
        <f>IF(P23=0,"",K23)</f>
        <v/>
      </c>
      <c r="R23" s="46">
        <f>IF(AND(Q23&lt;&gt;"",Q23&lt;-1),-Q23+ROW()/1000000,"")</f>
        <v/>
      </c>
      <c r="S23" s="46">
        <f>IF(Q23="","",I23)</f>
        <v/>
      </c>
    </row>
    <row r="24" ht="24" customHeight="1">
      <c r="A24" s="47">
        <f>Planejado!A23</f>
        <v/>
      </c>
      <c r="B24" s="47">
        <f>Planejado!B23</f>
        <v/>
      </c>
      <c r="C24" s="47">
        <f>Planejado!C23</f>
        <v/>
      </c>
      <c r="D24" s="48">
        <f>Planejado!D23</f>
        <v/>
      </c>
      <c r="E24" s="47">
        <f>Planejado!G23</f>
        <v/>
      </c>
      <c r="F24" s="49">
        <f>INDEX(Planejado!$H23:$S23,$D$3)</f>
        <v/>
      </c>
      <c r="G24" s="49">
        <f>INDEX(Realizado!$H23:$S23,$D$3)</f>
        <v/>
      </c>
      <c r="H24" s="49">
        <f>G24-F24</f>
        <v/>
      </c>
      <c r="I24" s="49">
        <f>SUMPRODUCT((COLUMN(Planejado!$H$4:$S$4)-COLUMN(Planejado!$H$4)+1&lt;=$D$3)*Planejado!$H23:$S23)</f>
        <v/>
      </c>
      <c r="J24" s="49">
        <f>SUMPRODUCT((COLUMN(Realizado!$H$4:$S$4)-COLUMN(Realizado!$H$4)+1&lt;=$D$3)*Realizado!$H23:$S23)</f>
        <v/>
      </c>
      <c r="K24" s="49">
        <f>J24-I24</f>
        <v/>
      </c>
      <c r="L24" s="50">
        <f>IFERROR(K24/I24,"")</f>
        <v/>
      </c>
      <c r="M24" s="50">
        <f>IFERROR(J24/I24,"")</f>
        <v/>
      </c>
      <c r="N24" s="51">
        <f>IF(P24=0,"Sem lançamento",IF(AND(I24=0,J24=0),"—",IF(I24=0,"Não orçado",IF(K24&gt;0.05*I24,"Acima do orçado",IF(K24&lt;-0.05*I24,"Abaixo do orçado","Dentro do orçado")))))</f>
        <v/>
      </c>
      <c r="O24" s="39">
        <f>IF(K24&gt;1,K24+ROW()/1000000,"")</f>
        <v/>
      </c>
      <c r="P24" s="52">
        <f>SUMPRODUCT((COLUMN(Realizado!$H$4:$S$4)-COLUMN(Realizado!$H$4)+1&lt;=$D$3)*(Realizado!$H23:$S23&lt;&gt;""))</f>
        <v/>
      </c>
      <c r="Q24" s="46">
        <f>IF(P24=0,"",K24)</f>
        <v/>
      </c>
      <c r="R24" s="46">
        <f>IF(AND(Q24&lt;&gt;"",Q24&lt;-1),-Q24+ROW()/1000000,"")</f>
        <v/>
      </c>
      <c r="S24" s="46">
        <f>IF(Q24="","",I24)</f>
        <v/>
      </c>
    </row>
    <row r="25" ht="24" customHeight="1">
      <c r="A25" s="47">
        <f>Planejado!A24</f>
        <v/>
      </c>
      <c r="B25" s="47">
        <f>Planejado!B24</f>
        <v/>
      </c>
      <c r="C25" s="47">
        <f>Planejado!C24</f>
        <v/>
      </c>
      <c r="D25" s="48">
        <f>Planejado!D24</f>
        <v/>
      </c>
      <c r="E25" s="47">
        <f>Planejado!G24</f>
        <v/>
      </c>
      <c r="F25" s="49">
        <f>INDEX(Planejado!$H24:$S24,$D$3)</f>
        <v/>
      </c>
      <c r="G25" s="49">
        <f>INDEX(Realizado!$H24:$S24,$D$3)</f>
        <v/>
      </c>
      <c r="H25" s="49">
        <f>G25-F25</f>
        <v/>
      </c>
      <c r="I25" s="49">
        <f>SUMPRODUCT((COLUMN(Planejado!$H$4:$S$4)-COLUMN(Planejado!$H$4)+1&lt;=$D$3)*Planejado!$H24:$S24)</f>
        <v/>
      </c>
      <c r="J25" s="49">
        <f>SUMPRODUCT((COLUMN(Realizado!$H$4:$S$4)-COLUMN(Realizado!$H$4)+1&lt;=$D$3)*Realizado!$H24:$S24)</f>
        <v/>
      </c>
      <c r="K25" s="49">
        <f>J25-I25</f>
        <v/>
      </c>
      <c r="L25" s="50">
        <f>IFERROR(K25/I25,"")</f>
        <v/>
      </c>
      <c r="M25" s="50">
        <f>IFERROR(J25/I25,"")</f>
        <v/>
      </c>
      <c r="N25" s="51">
        <f>IF(P25=0,"Sem lançamento",IF(AND(I25=0,J25=0),"—",IF(I25=0,"Não orçado",IF(K25&gt;0.05*I25,"Acima do orçado",IF(K25&lt;-0.05*I25,"Abaixo do orçado","Dentro do orçado")))))</f>
        <v/>
      </c>
      <c r="O25" s="39">
        <f>IF(K25&gt;1,K25+ROW()/1000000,"")</f>
        <v/>
      </c>
      <c r="P25" s="52">
        <f>SUMPRODUCT((COLUMN(Realizado!$H$4:$S$4)-COLUMN(Realizado!$H$4)+1&lt;=$D$3)*(Realizado!$H24:$S24&lt;&gt;""))</f>
        <v/>
      </c>
      <c r="Q25" s="46">
        <f>IF(P25=0,"",K25)</f>
        <v/>
      </c>
      <c r="R25" s="46">
        <f>IF(AND(Q25&lt;&gt;"",Q25&lt;-1),-Q25+ROW()/1000000,"")</f>
        <v/>
      </c>
      <c r="S25" s="46">
        <f>IF(Q25="","",I25)</f>
        <v/>
      </c>
    </row>
    <row r="26" ht="24" customHeight="1">
      <c r="A26" s="47">
        <f>Planejado!A25</f>
        <v/>
      </c>
      <c r="B26" s="47">
        <f>Planejado!B25</f>
        <v/>
      </c>
      <c r="C26" s="47">
        <f>Planejado!C25</f>
        <v/>
      </c>
      <c r="D26" s="48">
        <f>Planejado!D25</f>
        <v/>
      </c>
      <c r="E26" s="47">
        <f>Planejado!G25</f>
        <v/>
      </c>
      <c r="F26" s="49">
        <f>INDEX(Planejado!$H25:$S25,$D$3)</f>
        <v/>
      </c>
      <c r="G26" s="49">
        <f>INDEX(Realizado!$H25:$S25,$D$3)</f>
        <v/>
      </c>
      <c r="H26" s="49">
        <f>G26-F26</f>
        <v/>
      </c>
      <c r="I26" s="49">
        <f>SUMPRODUCT((COLUMN(Planejado!$H$4:$S$4)-COLUMN(Planejado!$H$4)+1&lt;=$D$3)*Planejado!$H25:$S25)</f>
        <v/>
      </c>
      <c r="J26" s="49">
        <f>SUMPRODUCT((COLUMN(Realizado!$H$4:$S$4)-COLUMN(Realizado!$H$4)+1&lt;=$D$3)*Realizado!$H25:$S25)</f>
        <v/>
      </c>
      <c r="K26" s="49">
        <f>J26-I26</f>
        <v/>
      </c>
      <c r="L26" s="50">
        <f>IFERROR(K26/I26,"")</f>
        <v/>
      </c>
      <c r="M26" s="50">
        <f>IFERROR(J26/I26,"")</f>
        <v/>
      </c>
      <c r="N26" s="51">
        <f>IF(P26=0,"Sem lançamento",IF(AND(I26=0,J26=0),"—",IF(I26=0,"Não orçado",IF(K26&gt;0.05*I26,"Acima do orçado",IF(K26&lt;-0.05*I26,"Abaixo do orçado","Dentro do orçado")))))</f>
        <v/>
      </c>
      <c r="O26" s="39">
        <f>IF(K26&gt;1,K26+ROW()/1000000,"")</f>
        <v/>
      </c>
      <c r="P26" s="52">
        <f>SUMPRODUCT((COLUMN(Realizado!$H$4:$S$4)-COLUMN(Realizado!$H$4)+1&lt;=$D$3)*(Realizado!$H25:$S25&lt;&gt;""))</f>
        <v/>
      </c>
      <c r="Q26" s="46">
        <f>IF(P26=0,"",K26)</f>
        <v/>
      </c>
      <c r="R26" s="46">
        <f>IF(AND(Q26&lt;&gt;"",Q26&lt;-1),-Q26+ROW()/1000000,"")</f>
        <v/>
      </c>
      <c r="S26" s="46">
        <f>IF(Q26="","",I26)</f>
        <v/>
      </c>
    </row>
    <row r="27" ht="24" customHeight="1">
      <c r="A27" s="47">
        <f>Planejado!A26</f>
        <v/>
      </c>
      <c r="B27" s="47">
        <f>Planejado!B26</f>
        <v/>
      </c>
      <c r="C27" s="47">
        <f>Planejado!C26</f>
        <v/>
      </c>
      <c r="D27" s="48">
        <f>Planejado!D26</f>
        <v/>
      </c>
      <c r="E27" s="47">
        <f>Planejado!G26</f>
        <v/>
      </c>
      <c r="F27" s="49">
        <f>INDEX(Planejado!$H26:$S26,$D$3)</f>
        <v/>
      </c>
      <c r="G27" s="49">
        <f>INDEX(Realizado!$H26:$S26,$D$3)</f>
        <v/>
      </c>
      <c r="H27" s="49">
        <f>G27-F27</f>
        <v/>
      </c>
      <c r="I27" s="49">
        <f>SUMPRODUCT((COLUMN(Planejado!$H$4:$S$4)-COLUMN(Planejado!$H$4)+1&lt;=$D$3)*Planejado!$H26:$S26)</f>
        <v/>
      </c>
      <c r="J27" s="49">
        <f>SUMPRODUCT((COLUMN(Realizado!$H$4:$S$4)-COLUMN(Realizado!$H$4)+1&lt;=$D$3)*Realizado!$H26:$S26)</f>
        <v/>
      </c>
      <c r="K27" s="49">
        <f>J27-I27</f>
        <v/>
      </c>
      <c r="L27" s="50">
        <f>IFERROR(K27/I27,"")</f>
        <v/>
      </c>
      <c r="M27" s="50">
        <f>IFERROR(J27/I27,"")</f>
        <v/>
      </c>
      <c r="N27" s="51">
        <f>IF(P27=0,"Sem lançamento",IF(AND(I27=0,J27=0),"—",IF(I27=0,"Não orçado",IF(K27&gt;0.05*I27,"Acima do orçado",IF(K27&lt;-0.05*I27,"Abaixo do orçado","Dentro do orçado")))))</f>
        <v/>
      </c>
      <c r="O27" s="39">
        <f>IF(K27&gt;1,K27+ROW()/1000000,"")</f>
        <v/>
      </c>
      <c r="P27" s="52">
        <f>SUMPRODUCT((COLUMN(Realizado!$H$4:$S$4)-COLUMN(Realizado!$H$4)+1&lt;=$D$3)*(Realizado!$H26:$S26&lt;&gt;""))</f>
        <v/>
      </c>
      <c r="Q27" s="46">
        <f>IF(P27=0,"",K27)</f>
        <v/>
      </c>
      <c r="R27" s="46">
        <f>IF(AND(Q27&lt;&gt;"",Q27&lt;-1),-Q27+ROW()/1000000,"")</f>
        <v/>
      </c>
      <c r="S27" s="46">
        <f>IF(Q27="","",I27)</f>
        <v/>
      </c>
    </row>
    <row r="28" ht="24" customHeight="1">
      <c r="A28" s="47">
        <f>Planejado!A27</f>
        <v/>
      </c>
      <c r="B28" s="47">
        <f>Planejado!B27</f>
        <v/>
      </c>
      <c r="C28" s="47">
        <f>Planejado!C27</f>
        <v/>
      </c>
      <c r="D28" s="48">
        <f>Planejado!D27</f>
        <v/>
      </c>
      <c r="E28" s="47">
        <f>Planejado!G27</f>
        <v/>
      </c>
      <c r="F28" s="49">
        <f>INDEX(Planejado!$H27:$S27,$D$3)</f>
        <v/>
      </c>
      <c r="G28" s="49">
        <f>INDEX(Realizado!$H27:$S27,$D$3)</f>
        <v/>
      </c>
      <c r="H28" s="49">
        <f>G28-F28</f>
        <v/>
      </c>
      <c r="I28" s="49">
        <f>SUMPRODUCT((COLUMN(Planejado!$H$4:$S$4)-COLUMN(Planejado!$H$4)+1&lt;=$D$3)*Planejado!$H27:$S27)</f>
        <v/>
      </c>
      <c r="J28" s="49">
        <f>SUMPRODUCT((COLUMN(Realizado!$H$4:$S$4)-COLUMN(Realizado!$H$4)+1&lt;=$D$3)*Realizado!$H27:$S27)</f>
        <v/>
      </c>
      <c r="K28" s="49">
        <f>J28-I28</f>
        <v/>
      </c>
      <c r="L28" s="50">
        <f>IFERROR(K28/I28,"")</f>
        <v/>
      </c>
      <c r="M28" s="50">
        <f>IFERROR(J28/I28,"")</f>
        <v/>
      </c>
      <c r="N28" s="51">
        <f>IF(P28=0,"Sem lançamento",IF(AND(I28=0,J28=0),"—",IF(I28=0,"Não orçado",IF(K28&gt;0.05*I28,"Acima do orçado",IF(K28&lt;-0.05*I28,"Abaixo do orçado","Dentro do orçado")))))</f>
        <v/>
      </c>
      <c r="O28" s="39">
        <f>IF(K28&gt;1,K28+ROW()/1000000,"")</f>
        <v/>
      </c>
      <c r="P28" s="52">
        <f>SUMPRODUCT((COLUMN(Realizado!$H$4:$S$4)-COLUMN(Realizado!$H$4)+1&lt;=$D$3)*(Realizado!$H27:$S27&lt;&gt;""))</f>
        <v/>
      </c>
      <c r="Q28" s="46">
        <f>IF(P28=0,"",K28)</f>
        <v/>
      </c>
      <c r="R28" s="46">
        <f>IF(AND(Q28&lt;&gt;"",Q28&lt;-1),-Q28+ROW()/1000000,"")</f>
        <v/>
      </c>
      <c r="S28" s="46">
        <f>IF(Q28="","",I28)</f>
        <v/>
      </c>
    </row>
    <row r="29" ht="24" customHeight="1">
      <c r="A29" s="47">
        <f>Planejado!A28</f>
        <v/>
      </c>
      <c r="B29" s="47">
        <f>Planejado!B28</f>
        <v/>
      </c>
      <c r="C29" s="47">
        <f>Planejado!C28</f>
        <v/>
      </c>
      <c r="D29" s="48">
        <f>Planejado!D28</f>
        <v/>
      </c>
      <c r="E29" s="47">
        <f>Planejado!G28</f>
        <v/>
      </c>
      <c r="F29" s="49">
        <f>INDEX(Planejado!$H28:$S28,$D$3)</f>
        <v/>
      </c>
      <c r="G29" s="49">
        <f>INDEX(Realizado!$H28:$S28,$D$3)</f>
        <v/>
      </c>
      <c r="H29" s="49">
        <f>G29-F29</f>
        <v/>
      </c>
      <c r="I29" s="49">
        <f>SUMPRODUCT((COLUMN(Planejado!$H$4:$S$4)-COLUMN(Planejado!$H$4)+1&lt;=$D$3)*Planejado!$H28:$S28)</f>
        <v/>
      </c>
      <c r="J29" s="49">
        <f>SUMPRODUCT((COLUMN(Realizado!$H$4:$S$4)-COLUMN(Realizado!$H$4)+1&lt;=$D$3)*Realizado!$H28:$S28)</f>
        <v/>
      </c>
      <c r="K29" s="49">
        <f>J29-I29</f>
        <v/>
      </c>
      <c r="L29" s="50">
        <f>IFERROR(K29/I29,"")</f>
        <v/>
      </c>
      <c r="M29" s="50">
        <f>IFERROR(J29/I29,"")</f>
        <v/>
      </c>
      <c r="N29" s="51">
        <f>IF(P29=0,"Sem lançamento",IF(AND(I29=0,J29=0),"—",IF(I29=0,"Não orçado",IF(K29&gt;0.05*I29,"Acima do orçado",IF(K29&lt;-0.05*I29,"Abaixo do orçado","Dentro do orçado")))))</f>
        <v/>
      </c>
      <c r="O29" s="39">
        <f>IF(K29&gt;1,K29+ROW()/1000000,"")</f>
        <v/>
      </c>
      <c r="P29" s="52">
        <f>SUMPRODUCT((COLUMN(Realizado!$H$4:$S$4)-COLUMN(Realizado!$H$4)+1&lt;=$D$3)*(Realizado!$H28:$S28&lt;&gt;""))</f>
        <v/>
      </c>
      <c r="Q29" s="46">
        <f>IF(P29=0,"",K29)</f>
        <v/>
      </c>
      <c r="R29" s="46">
        <f>IF(AND(Q29&lt;&gt;"",Q29&lt;-1),-Q29+ROW()/1000000,"")</f>
        <v/>
      </c>
      <c r="S29" s="46">
        <f>IF(Q29="","",I29)</f>
        <v/>
      </c>
    </row>
    <row r="30" ht="24" customHeight="1">
      <c r="A30" s="47">
        <f>Planejado!A29</f>
        <v/>
      </c>
      <c r="B30" s="47">
        <f>Planejado!B29</f>
        <v/>
      </c>
      <c r="C30" s="47">
        <f>Planejado!C29</f>
        <v/>
      </c>
      <c r="D30" s="48">
        <f>Planejado!D29</f>
        <v/>
      </c>
      <c r="E30" s="47">
        <f>Planejado!G29</f>
        <v/>
      </c>
      <c r="F30" s="49">
        <f>INDEX(Planejado!$H29:$S29,$D$3)</f>
        <v/>
      </c>
      <c r="G30" s="49">
        <f>INDEX(Realizado!$H29:$S29,$D$3)</f>
        <v/>
      </c>
      <c r="H30" s="49">
        <f>G30-F30</f>
        <v/>
      </c>
      <c r="I30" s="49">
        <f>SUMPRODUCT((COLUMN(Planejado!$H$4:$S$4)-COLUMN(Planejado!$H$4)+1&lt;=$D$3)*Planejado!$H29:$S29)</f>
        <v/>
      </c>
      <c r="J30" s="49">
        <f>SUMPRODUCT((COLUMN(Realizado!$H$4:$S$4)-COLUMN(Realizado!$H$4)+1&lt;=$D$3)*Realizado!$H29:$S29)</f>
        <v/>
      </c>
      <c r="K30" s="49">
        <f>J30-I30</f>
        <v/>
      </c>
      <c r="L30" s="50">
        <f>IFERROR(K30/I30,"")</f>
        <v/>
      </c>
      <c r="M30" s="50">
        <f>IFERROR(J30/I30,"")</f>
        <v/>
      </c>
      <c r="N30" s="51">
        <f>IF(P30=0,"Sem lançamento",IF(AND(I30=0,J30=0),"—",IF(I30=0,"Não orçado",IF(K30&gt;0.05*I30,"Acima do orçado",IF(K30&lt;-0.05*I30,"Abaixo do orçado","Dentro do orçado")))))</f>
        <v/>
      </c>
      <c r="O30" s="39">
        <f>IF(K30&gt;1,K30+ROW()/1000000,"")</f>
        <v/>
      </c>
      <c r="P30" s="52">
        <f>SUMPRODUCT((COLUMN(Realizado!$H$4:$S$4)-COLUMN(Realizado!$H$4)+1&lt;=$D$3)*(Realizado!$H29:$S29&lt;&gt;""))</f>
        <v/>
      </c>
      <c r="Q30" s="46">
        <f>IF(P30=0,"",K30)</f>
        <v/>
      </c>
      <c r="R30" s="46">
        <f>IF(AND(Q30&lt;&gt;"",Q30&lt;-1),-Q30+ROW()/1000000,"")</f>
        <v/>
      </c>
      <c r="S30" s="46">
        <f>IF(Q30="","",I30)</f>
        <v/>
      </c>
    </row>
    <row r="31">
      <c r="A31" s="16" t="inlineStr">
        <is>
          <t>TOTAL GERAL</t>
        </is>
      </c>
      <c r="B31" s="16" t="n"/>
      <c r="C31" s="16" t="n"/>
      <c r="D31" s="16" t="n"/>
      <c r="E31" s="16" t="n"/>
      <c r="F31" s="17">
        <f>SUM(F6:F30)</f>
        <v/>
      </c>
      <c r="G31" s="17">
        <f>SUM(G6:G30)</f>
        <v/>
      </c>
      <c r="H31" s="17">
        <f>SUM(H6:H30)</f>
        <v/>
      </c>
      <c r="I31" s="17">
        <f>SUM(I6:I30)</f>
        <v/>
      </c>
      <c r="J31" s="17">
        <f>SUM(J6:J30)</f>
        <v/>
      </c>
      <c r="K31" s="17">
        <f>SUM(K6:K30)</f>
        <v/>
      </c>
      <c r="L31" s="53">
        <f>IFERROR(K31/I31,"")</f>
        <v/>
      </c>
      <c r="M31" s="53">
        <f>IFERROR(J31/I31,"")</f>
        <v/>
      </c>
      <c r="N31" s="16" t="n"/>
    </row>
  </sheetData>
  <autoFilter ref="A5:N30"/>
  <mergeCells count="2">
    <mergeCell ref="A2:N2"/>
    <mergeCell ref="A1:N1"/>
  </mergeCells>
  <conditionalFormatting sqref="H6:H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6:K30">
    <cfRule type="cellIs" priority="3" operator="greaterThan" dxfId="0">
      <formula>0</formula>
    </cfRule>
    <cfRule type="cellIs" priority="4" operator="lessThan" dxfId="1">
      <formula>0</formula>
    </cfRule>
  </conditionalFormatting>
  <dataValidations count="1">
    <dataValidation sqref="B3" showDropDown="0" showInputMessage="0" showErrorMessage="0" allowBlank="0" type="list">
      <formula1>"Jan/26,Fev/26,Mar/26,Abr/26,Mai/26,Jun/26,Jul/26,Ago/26,Set/26,Out/26,Nov/26,Dez/26"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4" customWidth="1" min="4" max="4"/>
    <col width="42" customWidth="1" min="5" max="5"/>
    <col width="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</cols>
  <sheetData>
    <row r="1" ht="30" customHeight="1">
      <c r="A1" s="1" t="inlineStr">
        <is>
          <t>ORÇAMENTO PLANEJADO 2026  —  JURÍDICO E TI</t>
        </is>
      </c>
    </row>
    <row r="2" ht="18" customHeight="1">
      <c r="A2" s="2" t="inlineStr">
        <is>
          <t>Base: janeiro a dezembro/2026 (12 meses). CLT com encargos de folha + benefícios inclusos. Esta aba é a referência — altere aqui apenas se o orçamento for oficialmente revisado.</t>
        </is>
      </c>
    </row>
    <row r="4" ht="30" customHeight="1">
      <c r="A4" s="7" t="inlineStr">
        <is>
          <t>ID</t>
        </is>
      </c>
      <c r="B4" s="7" t="inlineStr">
        <is>
          <t>Departamento</t>
        </is>
      </c>
      <c r="C4" s="7" t="inlineStr">
        <is>
          <t>Bloco</t>
        </is>
      </c>
      <c r="D4" s="7" t="inlineStr">
        <is>
          <t>Descrição</t>
        </is>
      </c>
      <c r="E4" s="7" t="inlineStr">
        <is>
          <t>Detalhe / Observação</t>
        </is>
      </c>
      <c r="F4" s="7" t="inlineStr">
        <is>
          <t>Vínculo</t>
        </is>
      </c>
      <c r="G4" s="7" t="inlineStr">
        <is>
          <t>Plano de Contas</t>
        </is>
      </c>
      <c r="H4" s="7" t="inlineStr">
        <is>
          <t>Jan/26</t>
        </is>
      </c>
      <c r="I4" s="7" t="inlineStr">
        <is>
          <t>Fev/26</t>
        </is>
      </c>
      <c r="J4" s="7" t="inlineStr">
        <is>
          <t>Mar/26</t>
        </is>
      </c>
      <c r="K4" s="7" t="inlineStr">
        <is>
          <t>Abr/26</t>
        </is>
      </c>
      <c r="L4" s="7" t="inlineStr">
        <is>
          <t>Mai/26</t>
        </is>
      </c>
      <c r="M4" s="7" t="inlineStr">
        <is>
          <t>Jun/26</t>
        </is>
      </c>
      <c r="N4" s="7" t="inlineStr">
        <is>
          <t>Jul/26</t>
        </is>
      </c>
      <c r="O4" s="7" t="inlineStr">
        <is>
          <t>Ago/26</t>
        </is>
      </c>
      <c r="P4" s="7" t="inlineStr">
        <is>
          <t>Set/26</t>
        </is>
      </c>
      <c r="Q4" s="7" t="inlineStr">
        <is>
          <t>Out/26</t>
        </is>
      </c>
      <c r="R4" s="7" t="inlineStr">
        <is>
          <t>Nov/26</t>
        </is>
      </c>
      <c r="S4" s="7" t="inlineStr">
        <is>
          <t>Dez/26</t>
        </is>
      </c>
      <c r="T4" s="7" t="inlineStr">
        <is>
          <t>TOTAL DO ANO</t>
        </is>
      </c>
    </row>
    <row r="5" ht="26" customHeight="1">
      <c r="A5" s="40" t="inlineStr">
        <is>
          <t>JUR-E01</t>
        </is>
      </c>
      <c r="B5" s="40" t="inlineStr">
        <is>
          <t>Jurídico</t>
        </is>
      </c>
      <c r="C5" s="40" t="inlineStr">
        <is>
          <t>Equipe</t>
        </is>
      </c>
      <c r="D5" s="41" t="inlineStr">
        <is>
          <t>Miguel Clepf</t>
        </is>
      </c>
      <c r="E5" s="41" t="inlineStr">
        <is>
          <t>Advogado Júnior</t>
        </is>
      </c>
      <c r="F5" s="40" t="inlineStr">
        <is>
          <t>PJ</t>
        </is>
      </c>
      <c r="G5" s="40" t="inlineStr">
        <is>
          <t>Pessoal - PJ</t>
        </is>
      </c>
      <c r="H5" s="42" t="n">
        <v>10000</v>
      </c>
      <c r="I5" s="42" t="n">
        <v>10000</v>
      </c>
      <c r="J5" s="42" t="n">
        <v>10000</v>
      </c>
      <c r="K5" s="42" t="n">
        <v>10000</v>
      </c>
      <c r="L5" s="42" t="n">
        <v>10000</v>
      </c>
      <c r="M5" s="42" t="n">
        <v>10000</v>
      </c>
      <c r="N5" s="42" t="n">
        <v>10000</v>
      </c>
      <c r="O5" s="42" t="n">
        <v>10000</v>
      </c>
      <c r="P5" s="42" t="n">
        <v>10000</v>
      </c>
      <c r="Q5" s="42" t="n">
        <v>10000</v>
      </c>
      <c r="R5" s="42" t="n">
        <v>10000</v>
      </c>
      <c r="S5" s="42" t="n">
        <v>10000</v>
      </c>
      <c r="T5" s="54">
        <f>SUM(H5:S5)</f>
        <v/>
      </c>
    </row>
    <row r="6" ht="26" customHeight="1">
      <c r="A6" s="40" t="inlineStr">
        <is>
          <t>JUR-E02</t>
        </is>
      </c>
      <c r="B6" s="40" t="inlineStr">
        <is>
          <t>Jurídico</t>
        </is>
      </c>
      <c r="C6" s="40" t="inlineStr">
        <is>
          <t>Equipe</t>
        </is>
      </c>
      <c r="D6" s="41" t="inlineStr">
        <is>
          <t>Geovanna</t>
        </is>
      </c>
      <c r="E6" s="41" t="inlineStr">
        <is>
          <t>Analista Administrativo — orçada pelo custo total (encargos de folha + benefícios). Salário bruto informado: R$ 2.886,91/mês</t>
        </is>
      </c>
      <c r="F6" s="40" t="inlineStr">
        <is>
          <t>CLT</t>
        </is>
      </c>
      <c r="G6" s="40" t="inlineStr">
        <is>
          <t>Pessoal - CLT</t>
        </is>
      </c>
      <c r="H6" s="42" t="n">
        <v>4825.515</v>
      </c>
      <c r="I6" s="42" t="n">
        <v>4825.515</v>
      </c>
      <c r="J6" s="42" t="n">
        <v>4825.515</v>
      </c>
      <c r="K6" s="42" t="n">
        <v>4825.515</v>
      </c>
      <c r="L6" s="42" t="n">
        <v>4825.515</v>
      </c>
      <c r="M6" s="42" t="n">
        <v>4825.515</v>
      </c>
      <c r="N6" s="42" t="n">
        <v>4825.515</v>
      </c>
      <c r="O6" s="42" t="n">
        <v>4825.515</v>
      </c>
      <c r="P6" s="42" t="n">
        <v>4825.515</v>
      </c>
      <c r="Q6" s="42" t="n">
        <v>4825.515</v>
      </c>
      <c r="R6" s="42" t="n">
        <v>4825.515</v>
      </c>
      <c r="S6" s="42" t="n">
        <v>4825.515</v>
      </c>
      <c r="T6" s="54">
        <f>SUM(H6:S6)</f>
        <v/>
      </c>
    </row>
    <row r="7" ht="26" customHeight="1">
      <c r="A7" s="40" t="inlineStr">
        <is>
          <t>JUR-E03</t>
        </is>
      </c>
      <c r="B7" s="40" t="inlineStr">
        <is>
          <t>Jurídico</t>
        </is>
      </c>
      <c r="C7" s="40" t="inlineStr">
        <is>
          <t>Equipe</t>
        </is>
      </c>
      <c r="D7" s="41" t="inlineStr">
        <is>
          <t>Thamar Victória</t>
        </is>
      </c>
      <c r="E7" s="41" t="inlineStr">
        <is>
          <t>Advogada — recebia R$ 4.500/mês em jan–mar e passou a R$ 5.500 em abr/26 (aumento de R$ 1.000), contra R$ 5.000 orçados. Planejado revisado para R$ 5.500 a partir de ago/26</t>
        </is>
      </c>
      <c r="F7" s="40" t="inlineStr">
        <is>
          <t>PJ</t>
        </is>
      </c>
      <c r="G7" s="40" t="inlineStr">
        <is>
          <t>Pessoal - PJ</t>
        </is>
      </c>
      <c r="H7" s="42" t="n">
        <v>5000</v>
      </c>
      <c r="I7" s="42" t="n">
        <v>5000</v>
      </c>
      <c r="J7" s="42" t="n">
        <v>5000</v>
      </c>
      <c r="K7" s="42" t="n">
        <v>5000</v>
      </c>
      <c r="L7" s="42" t="n">
        <v>5000</v>
      </c>
      <c r="M7" s="42" t="n">
        <v>5000</v>
      </c>
      <c r="N7" s="42" t="n">
        <v>5000</v>
      </c>
      <c r="O7" s="42" t="n">
        <v>5500</v>
      </c>
      <c r="P7" s="42" t="n">
        <v>5500</v>
      </c>
      <c r="Q7" s="42" t="n">
        <v>5500</v>
      </c>
      <c r="R7" s="42" t="n">
        <v>5500</v>
      </c>
      <c r="S7" s="42" t="n">
        <v>5500</v>
      </c>
      <c r="T7" s="54">
        <f>SUM(H7:S7)</f>
        <v/>
      </c>
    </row>
    <row r="8" ht="26" customHeight="1">
      <c r="A8" s="40" t="inlineStr">
        <is>
          <t>JUR-D01</t>
        </is>
      </c>
      <c r="B8" s="40" t="inlineStr">
        <is>
          <t>Jurídico</t>
        </is>
      </c>
      <c r="C8" s="40" t="inlineStr">
        <is>
          <t>Despesas</t>
        </is>
      </c>
      <c r="D8" s="41" t="inlineStr">
        <is>
          <t>JUSFY</t>
        </is>
      </c>
      <c r="E8" s="41" t="inlineStr">
        <is>
          <t>Fase de teste com objetivo de eliminar o Astrea</t>
        </is>
      </c>
      <c r="F8" s="40" t="inlineStr"/>
      <c r="G8" s="40" t="inlineStr">
        <is>
          <t>Licenças de Softwares</t>
        </is>
      </c>
      <c r="H8" s="42" t="n">
        <v>100</v>
      </c>
      <c r="I8" s="42" t="n">
        <v>100</v>
      </c>
      <c r="J8" s="42" t="n">
        <v>100</v>
      </c>
      <c r="K8" s="42" t="n">
        <v>100</v>
      </c>
      <c r="L8" s="42" t="n">
        <v>100</v>
      </c>
      <c r="M8" s="42" t="n">
        <v>100</v>
      </c>
      <c r="N8" s="42" t="n">
        <v>100</v>
      </c>
      <c r="O8" s="42" t="n">
        <v>100</v>
      </c>
      <c r="P8" s="42" t="n">
        <v>100</v>
      </c>
      <c r="Q8" s="42" t="n">
        <v>100</v>
      </c>
      <c r="R8" s="42" t="n">
        <v>100</v>
      </c>
      <c r="S8" s="42" t="n">
        <v>100</v>
      </c>
      <c r="T8" s="54">
        <f>SUM(H8:S8)</f>
        <v/>
      </c>
    </row>
    <row r="9" ht="26" customHeight="1">
      <c r="A9" s="40" t="inlineStr">
        <is>
          <t>JUR-D02</t>
        </is>
      </c>
      <c r="B9" s="40" t="inlineStr">
        <is>
          <t>Jurídico</t>
        </is>
      </c>
      <c r="C9" s="40" t="inlineStr">
        <is>
          <t>Despesas</t>
        </is>
      </c>
      <c r="D9" s="41" t="inlineStr">
        <is>
          <t>JUSBRASIL</t>
        </is>
      </c>
      <c r="E9" s="41" t="inlineStr">
        <is>
          <t>ORÇAMENTO VEIO ERRADO: orçado R$ 104,90/mês, custo real R$ 136,00/mês. Corrigir na revisão orçamentária</t>
        </is>
      </c>
      <c r="F9" s="40" t="inlineStr"/>
      <c r="G9" s="40" t="inlineStr">
        <is>
          <t>Licenças de Softwares</t>
        </is>
      </c>
      <c r="H9" s="42" t="n">
        <v>104.9</v>
      </c>
      <c r="I9" s="42" t="n">
        <v>104.9</v>
      </c>
      <c r="J9" s="42" t="n">
        <v>104.9</v>
      </c>
      <c r="K9" s="42" t="n">
        <v>104.9</v>
      </c>
      <c r="L9" s="42" t="n">
        <v>104.9</v>
      </c>
      <c r="M9" s="42" t="n">
        <v>104.9</v>
      </c>
      <c r="N9" s="42" t="n">
        <v>104.9</v>
      </c>
      <c r="O9" s="42" t="n">
        <v>104.9</v>
      </c>
      <c r="P9" s="42" t="n">
        <v>104.9</v>
      </c>
      <c r="Q9" s="42" t="n">
        <v>104.9</v>
      </c>
      <c r="R9" s="42" t="n">
        <v>104.9</v>
      </c>
      <c r="S9" s="42" t="n">
        <v>104.9</v>
      </c>
      <c r="T9" s="54">
        <f>SUM(H9:S9)</f>
        <v/>
      </c>
    </row>
    <row r="10" ht="26" customHeight="1">
      <c r="A10" s="40" t="inlineStr">
        <is>
          <t>JUR-D03</t>
        </is>
      </c>
      <c r="B10" s="40" t="inlineStr">
        <is>
          <t>Jurídico</t>
        </is>
      </c>
      <c r="C10" s="40" t="inlineStr">
        <is>
          <t>Despesas</t>
        </is>
      </c>
      <c r="D10" s="41" t="inlineStr">
        <is>
          <t>ASTREA</t>
        </is>
      </c>
      <c r="E10" s="41" t="inlineStr">
        <is>
          <t>ORÇAMENTO VEIO ERRADO: orçado R$ 112,07/mês, custo real R$ 346,00/mês. Corrigir na revisão orçamentária</t>
        </is>
      </c>
      <c r="F10" s="40" t="inlineStr"/>
      <c r="G10" s="40" t="inlineStr">
        <is>
          <t>Licenças de Softwares</t>
        </is>
      </c>
      <c r="H10" s="42" t="n">
        <v>112.07</v>
      </c>
      <c r="I10" s="42" t="n">
        <v>112.07</v>
      </c>
      <c r="J10" s="42" t="n">
        <v>112.07</v>
      </c>
      <c r="K10" s="42" t="n">
        <v>112.07</v>
      </c>
      <c r="L10" s="42" t="n">
        <v>112.07</v>
      </c>
      <c r="M10" s="42" t="n">
        <v>112.07</v>
      </c>
      <c r="N10" s="42" t="n">
        <v>112.07</v>
      </c>
      <c r="O10" s="42" t="n">
        <v>112.07</v>
      </c>
      <c r="P10" s="42" t="n">
        <v>112.07</v>
      </c>
      <c r="Q10" s="42" t="n">
        <v>112.07</v>
      </c>
      <c r="R10" s="42" t="n">
        <v>112.07</v>
      </c>
      <c r="S10" s="42" t="n">
        <v>112.07</v>
      </c>
      <c r="T10" s="54">
        <f>SUM(H10:S10)</f>
        <v/>
      </c>
    </row>
    <row r="11" ht="26" customHeight="1">
      <c r="A11" s="40" t="inlineStr">
        <is>
          <t>JUR-D04</t>
        </is>
      </c>
      <c r="B11" s="40" t="inlineStr">
        <is>
          <t>Jurídico</t>
        </is>
      </c>
      <c r="C11" s="40" t="inlineStr">
        <is>
          <t>Despesas</t>
        </is>
      </c>
      <c r="D11" s="41" t="inlineStr">
        <is>
          <t>LEME</t>
        </is>
      </c>
      <c r="E11" s="41" t="inlineStr"/>
      <c r="F11" s="40" t="inlineStr"/>
      <c r="G11" s="40" t="inlineStr">
        <is>
          <t>Licenças de Softwares</t>
        </is>
      </c>
      <c r="H11" s="42" t="n">
        <v>1030</v>
      </c>
      <c r="I11" s="42" t="n">
        <v>1030</v>
      </c>
      <c r="J11" s="42" t="n">
        <v>1030</v>
      </c>
      <c r="K11" s="42" t="n">
        <v>1030</v>
      </c>
      <c r="L11" s="42" t="n">
        <v>1030</v>
      </c>
      <c r="M11" s="42" t="n">
        <v>1030</v>
      </c>
      <c r="N11" s="42" t="n">
        <v>1030</v>
      </c>
      <c r="O11" s="42" t="n">
        <v>1030</v>
      </c>
      <c r="P11" s="42" t="n">
        <v>1030</v>
      </c>
      <c r="Q11" s="42" t="n">
        <v>1030</v>
      </c>
      <c r="R11" s="42" t="n">
        <v>1030</v>
      </c>
      <c r="S11" s="42" t="n">
        <v>1030</v>
      </c>
      <c r="T11" s="54">
        <f>SUM(H11:S11)</f>
        <v/>
      </c>
    </row>
    <row r="12" ht="26" customHeight="1">
      <c r="A12" s="40" t="inlineStr">
        <is>
          <t>JUR-D05</t>
        </is>
      </c>
      <c r="B12" s="40" t="inlineStr">
        <is>
          <t>Jurídico</t>
        </is>
      </c>
      <c r="C12" s="40" t="inlineStr">
        <is>
          <t>Despesas</t>
        </is>
      </c>
      <c r="D12" s="41" t="inlineStr">
        <is>
          <t>Cursos / Eventos / Network</t>
        </is>
      </c>
      <c r="E12" s="41" t="inlineStr"/>
      <c r="F12" s="40" t="inlineStr"/>
      <c r="G12" s="40" t="inlineStr">
        <is>
          <t>Custeio de Treinamento</t>
        </is>
      </c>
      <c r="H12" s="42" t="n">
        <v>1000</v>
      </c>
      <c r="I12" s="42" t="n">
        <v>1000</v>
      </c>
      <c r="J12" s="42" t="n">
        <v>1000</v>
      </c>
      <c r="K12" s="42" t="n">
        <v>1000</v>
      </c>
      <c r="L12" s="42" t="n">
        <v>1000</v>
      </c>
      <c r="M12" s="42" t="n">
        <v>1000</v>
      </c>
      <c r="N12" s="42" t="n">
        <v>1000</v>
      </c>
      <c r="O12" s="42" t="n">
        <v>1000</v>
      </c>
      <c r="P12" s="42" t="n">
        <v>1000</v>
      </c>
      <c r="Q12" s="42" t="n">
        <v>1000</v>
      </c>
      <c r="R12" s="42" t="n">
        <v>1000</v>
      </c>
      <c r="S12" s="42" t="n">
        <v>1000</v>
      </c>
      <c r="T12" s="54">
        <f>SUM(H12:S12)</f>
        <v/>
      </c>
    </row>
    <row r="13" ht="26" customHeight="1">
      <c r="A13" s="40" t="inlineStr">
        <is>
          <t>JUR-D06</t>
        </is>
      </c>
      <c r="B13" s="40" t="inlineStr">
        <is>
          <t>Jurídico</t>
        </is>
      </c>
      <c r="C13" s="40" t="inlineStr">
        <is>
          <t>Despesas</t>
        </is>
      </c>
      <c r="D13" s="41" t="inlineStr">
        <is>
          <t>Bonificações trimestrais/semestrais do time</t>
        </is>
      </c>
      <c r="E13" s="41" t="inlineStr">
        <is>
          <t>Participação em projetos e atingimento de resultados — CONFIRMAR se houve parcela no 1º quadrimestre</t>
        </is>
      </c>
      <c r="F13" s="40" t="inlineStr"/>
      <c r="G13" s="40" t="inlineStr">
        <is>
          <t>Prêmios</t>
        </is>
      </c>
      <c r="H13" s="42" t="n">
        <v>0</v>
      </c>
      <c r="I13" s="42" t="n">
        <v>0</v>
      </c>
      <c r="J13" s="42" t="n">
        <v>0</v>
      </c>
      <c r="K13" s="42" t="n">
        <v>0</v>
      </c>
      <c r="L13" s="42" t="n">
        <v>0</v>
      </c>
      <c r="M13" s="42" t="n">
        <v>0</v>
      </c>
      <c r="N13" s="42" t="n">
        <v>0</v>
      </c>
      <c r="O13" s="42" t="n">
        <v>10293.6</v>
      </c>
      <c r="P13" s="42" t="n">
        <v>0</v>
      </c>
      <c r="Q13" s="42" t="n">
        <v>0</v>
      </c>
      <c r="R13" s="42" t="n">
        <v>0</v>
      </c>
      <c r="S13" s="42" t="n">
        <v>12867</v>
      </c>
      <c r="T13" s="54">
        <f>SUM(H13:S13)</f>
        <v/>
      </c>
    </row>
    <row r="14" ht="26" customHeight="1">
      <c r="A14" s="47" t="inlineStr">
        <is>
          <t>TI-E01</t>
        </is>
      </c>
      <c r="B14" s="47" t="inlineStr">
        <is>
          <t>TI</t>
        </is>
      </c>
      <c r="C14" s="47" t="inlineStr">
        <is>
          <t>Equipe</t>
        </is>
      </c>
      <c r="D14" s="48" t="inlineStr">
        <is>
          <t>Vinicius Di Franco</t>
        </is>
      </c>
      <c r="E14" s="48" t="inlineStr">
        <is>
          <t>Analista Administrativo — orçado pelo custo total (encargos de folha + benefícios). Salário bruto: R$ 2.570,52/mês até jul/26 e R$ 3.070,52 a partir de 05/08/26, aumento absorvido pela folga do envelope</t>
        </is>
      </c>
      <c r="F14" s="47" t="inlineStr">
        <is>
          <t>CLT</t>
        </is>
      </c>
      <c r="G14" s="47" t="inlineStr">
        <is>
          <t>Pessoal - CLT</t>
        </is>
      </c>
      <c r="H14" s="49" t="n">
        <v>5416.525</v>
      </c>
      <c r="I14" s="49" t="n">
        <v>5416.525</v>
      </c>
      <c r="J14" s="49" t="n">
        <v>5416.525</v>
      </c>
      <c r="K14" s="49" t="n">
        <v>5416.525</v>
      </c>
      <c r="L14" s="49" t="n">
        <v>5416.525</v>
      </c>
      <c r="M14" s="49" t="n">
        <v>5416.525</v>
      </c>
      <c r="N14" s="49" t="n">
        <v>5416.525</v>
      </c>
      <c r="O14" s="49" t="n">
        <v>5416.525</v>
      </c>
      <c r="P14" s="49" t="n">
        <v>5416.525</v>
      </c>
      <c r="Q14" s="49" t="n">
        <v>5416.525</v>
      </c>
      <c r="R14" s="49" t="n">
        <v>5416.525</v>
      </c>
      <c r="S14" s="49" t="n">
        <v>5416.525</v>
      </c>
      <c r="T14" s="54">
        <f>SUM(H14:S14)</f>
        <v/>
      </c>
    </row>
    <row r="15" ht="26" customHeight="1">
      <c r="A15" s="47" t="inlineStr">
        <is>
          <t>TI-E02</t>
        </is>
      </c>
      <c r="B15" s="47" t="inlineStr">
        <is>
          <t>TI</t>
        </is>
      </c>
      <c r="C15" s="47" t="inlineStr">
        <is>
          <t>Equipe</t>
        </is>
      </c>
      <c r="D15" s="48" t="inlineStr">
        <is>
          <t>Elias Benedito</t>
        </is>
      </c>
      <c r="E15" s="48" t="inlineStr">
        <is>
          <t>Suporte Técnico Terceirizado</t>
        </is>
      </c>
      <c r="F15" s="47" t="inlineStr">
        <is>
          <t>PJ</t>
        </is>
      </c>
      <c r="G15" s="47" t="inlineStr">
        <is>
          <t>Pessoal - PJ</t>
        </is>
      </c>
      <c r="H15" s="49" t="n">
        <v>1065</v>
      </c>
      <c r="I15" s="49" t="n">
        <v>1065</v>
      </c>
      <c r="J15" s="49" t="n">
        <v>1065</v>
      </c>
      <c r="K15" s="49" t="n">
        <v>1065</v>
      </c>
      <c r="L15" s="49" t="n">
        <v>1065</v>
      </c>
      <c r="M15" s="49" t="n">
        <v>1065</v>
      </c>
      <c r="N15" s="49" t="n">
        <v>1065</v>
      </c>
      <c r="O15" s="49" t="n">
        <v>1065</v>
      </c>
      <c r="P15" s="49" t="n">
        <v>1065</v>
      </c>
      <c r="Q15" s="49" t="n">
        <v>1065</v>
      </c>
      <c r="R15" s="49" t="n">
        <v>1065</v>
      </c>
      <c r="S15" s="49" t="n">
        <v>1065</v>
      </c>
      <c r="T15" s="54">
        <f>SUM(H15:S15)</f>
        <v/>
      </c>
    </row>
    <row r="16" ht="26" customHeight="1">
      <c r="A16" s="47" t="inlineStr">
        <is>
          <t>TI-E03</t>
        </is>
      </c>
      <c r="B16" s="47" t="inlineStr">
        <is>
          <t>TI</t>
        </is>
      </c>
      <c r="C16" s="47" t="inlineStr">
        <is>
          <t>Equipe</t>
        </is>
      </c>
      <c r="D16" s="48" t="inlineStr">
        <is>
          <t>Jonathan</t>
        </is>
      </c>
      <c r="E16" s="48" t="inlineStr">
        <is>
          <t>Consultor — entrada em abr/26 (9 meses), conforme o total da ficha original</t>
        </is>
      </c>
      <c r="F16" s="47" t="inlineStr">
        <is>
          <t>PJ</t>
        </is>
      </c>
      <c r="G16" s="47" t="inlineStr">
        <is>
          <t>Pessoal - PJ</t>
        </is>
      </c>
      <c r="H16" s="49" t="n">
        <v>0</v>
      </c>
      <c r="I16" s="49" t="n">
        <v>0</v>
      </c>
      <c r="J16" s="49" t="n">
        <v>0</v>
      </c>
      <c r="K16" s="49" t="n">
        <v>10000</v>
      </c>
      <c r="L16" s="49" t="n">
        <v>10000</v>
      </c>
      <c r="M16" s="49" t="n">
        <v>10000</v>
      </c>
      <c r="N16" s="49" t="n">
        <v>10000</v>
      </c>
      <c r="O16" s="49" t="n">
        <v>10000</v>
      </c>
      <c r="P16" s="49" t="n">
        <v>10000</v>
      </c>
      <c r="Q16" s="49" t="n">
        <v>10000</v>
      </c>
      <c r="R16" s="49" t="n">
        <v>10000</v>
      </c>
      <c r="S16" s="49" t="n">
        <v>10000</v>
      </c>
      <c r="T16" s="54">
        <f>SUM(H16:S16)</f>
        <v/>
      </c>
    </row>
    <row r="17" ht="26" customHeight="1">
      <c r="A17" s="47" t="inlineStr">
        <is>
          <t>TI-D01</t>
        </is>
      </c>
      <c r="B17" s="47" t="inlineStr">
        <is>
          <t>TI</t>
        </is>
      </c>
      <c r="C17" s="47" t="inlineStr">
        <is>
          <t>Despesas</t>
        </is>
      </c>
      <c r="D17" s="48" t="inlineStr">
        <is>
          <t>Peças de Manutenção</t>
        </is>
      </c>
      <c r="E17" s="48" t="inlineStr">
        <is>
          <t>Tela, teclado, carcaça, mouses de reposição, carregadores etc.</t>
        </is>
      </c>
      <c r="F17" s="47" t="inlineStr"/>
      <c r="G17" s="47" t="inlineStr">
        <is>
          <t>Equipamentos Eletrônicos Diversos</t>
        </is>
      </c>
      <c r="H17" s="49" t="n">
        <v>810</v>
      </c>
      <c r="I17" s="49" t="n">
        <v>810</v>
      </c>
      <c r="J17" s="49" t="n">
        <v>810</v>
      </c>
      <c r="K17" s="49" t="n">
        <v>810</v>
      </c>
      <c r="L17" s="49" t="n">
        <v>810</v>
      </c>
      <c r="M17" s="49" t="n">
        <v>810</v>
      </c>
      <c r="N17" s="49" t="n">
        <v>810</v>
      </c>
      <c r="O17" s="49" t="n">
        <v>810</v>
      </c>
      <c r="P17" s="49" t="n">
        <v>810</v>
      </c>
      <c r="Q17" s="49" t="n">
        <v>810</v>
      </c>
      <c r="R17" s="49" t="n">
        <v>810</v>
      </c>
      <c r="S17" s="49" t="n">
        <v>810</v>
      </c>
      <c r="T17" s="54">
        <f>SUM(H17:S17)</f>
        <v/>
      </c>
    </row>
    <row r="18" ht="26" customHeight="1">
      <c r="A18" s="47" t="inlineStr">
        <is>
          <t>TI-D02</t>
        </is>
      </c>
      <c r="B18" s="47" t="inlineStr">
        <is>
          <t>TI</t>
        </is>
      </c>
      <c r="C18" s="47" t="inlineStr">
        <is>
          <t>Despesas</t>
        </is>
      </c>
      <c r="D18" s="48" t="inlineStr">
        <is>
          <t>Backup em Nuvem</t>
        </is>
      </c>
      <c r="E18" s="48" t="inlineStr">
        <is>
          <t>Serviço de backup em nuvem para servidor — RATEIO A DEFINIR</t>
        </is>
      </c>
      <c r="F18" s="47" t="inlineStr"/>
      <c r="G18" s="47" t="inlineStr">
        <is>
          <t>Licenças de Softwares</t>
        </is>
      </c>
      <c r="H18" s="49" t="n">
        <v>825</v>
      </c>
      <c r="I18" s="49" t="n">
        <v>825</v>
      </c>
      <c r="J18" s="49" t="n">
        <v>825</v>
      </c>
      <c r="K18" s="49" t="n">
        <v>825</v>
      </c>
      <c r="L18" s="49" t="n">
        <v>825</v>
      </c>
      <c r="M18" s="49" t="n">
        <v>825</v>
      </c>
      <c r="N18" s="49" t="n">
        <v>825</v>
      </c>
      <c r="O18" s="49" t="n">
        <v>825</v>
      </c>
      <c r="P18" s="49" t="n">
        <v>825</v>
      </c>
      <c r="Q18" s="49" t="n">
        <v>825</v>
      </c>
      <c r="R18" s="49" t="n">
        <v>825</v>
      </c>
      <c r="S18" s="49" t="n">
        <v>825</v>
      </c>
      <c r="T18" s="54">
        <f>SUM(H18:S18)</f>
        <v/>
      </c>
    </row>
    <row r="19" ht="26" customHeight="1">
      <c r="A19" s="47" t="inlineStr">
        <is>
          <t>TI-D03</t>
        </is>
      </c>
      <c r="B19" s="47" t="inlineStr">
        <is>
          <t>TI</t>
        </is>
      </c>
      <c r="C19" s="47" t="inlineStr">
        <is>
          <t>Despesas</t>
        </is>
      </c>
      <c r="D19" s="48" t="inlineStr">
        <is>
          <t>Inteligência Artificial (Adapta)</t>
        </is>
      </c>
      <c r="E19" s="48" t="inlineStr">
        <is>
          <t>Plataforma de IA para utilização de agentes — RATEIO A DEFINIR</t>
        </is>
      </c>
      <c r="F19" s="47" t="inlineStr"/>
      <c r="G19" s="47" t="inlineStr">
        <is>
          <t>Licenças de Softwares</t>
        </is>
      </c>
      <c r="H19" s="49" t="n">
        <v>1300</v>
      </c>
      <c r="I19" s="49" t="n">
        <v>1300</v>
      </c>
      <c r="J19" s="49" t="n">
        <v>1300</v>
      </c>
      <c r="K19" s="49" t="n">
        <v>1300</v>
      </c>
      <c r="L19" s="49" t="n">
        <v>1300</v>
      </c>
      <c r="M19" s="49" t="n">
        <v>1300</v>
      </c>
      <c r="N19" s="49" t="n">
        <v>1600</v>
      </c>
      <c r="O19" s="49" t="n">
        <v>1600</v>
      </c>
      <c r="P19" s="49" t="n">
        <v>1600</v>
      </c>
      <c r="Q19" s="49" t="n">
        <v>1600</v>
      </c>
      <c r="R19" s="49" t="n">
        <v>1600</v>
      </c>
      <c r="S19" s="49" t="n">
        <v>1600</v>
      </c>
      <c r="T19" s="54">
        <f>SUM(H19:S19)</f>
        <v/>
      </c>
    </row>
    <row r="20" ht="26" customHeight="1">
      <c r="A20" s="47" t="inlineStr">
        <is>
          <t>TI-D04</t>
        </is>
      </c>
      <c r="B20" s="47" t="inlineStr">
        <is>
          <t>TI</t>
        </is>
      </c>
      <c r="C20" s="47" t="inlineStr">
        <is>
          <t>Despesas</t>
        </is>
      </c>
      <c r="D20" s="48" t="inlineStr">
        <is>
          <t>Antivírus</t>
        </is>
      </c>
      <c r="E20" s="48" t="inlineStr">
        <is>
          <t>Proteção para equipamentos — RATEIO A DEFINIR</t>
        </is>
      </c>
      <c r="F20" s="47" t="inlineStr"/>
      <c r="G20" s="47" t="inlineStr">
        <is>
          <t>Licenças de Softwares</t>
        </is>
      </c>
      <c r="H20" s="49" t="n">
        <v>240</v>
      </c>
      <c r="I20" s="49" t="n">
        <v>240</v>
      </c>
      <c r="J20" s="49" t="n">
        <v>240</v>
      </c>
      <c r="K20" s="49" t="n">
        <v>240</v>
      </c>
      <c r="L20" s="49" t="n">
        <v>240</v>
      </c>
      <c r="M20" s="49" t="n">
        <v>240</v>
      </c>
      <c r="N20" s="49" t="n">
        <v>240</v>
      </c>
      <c r="O20" s="49" t="n">
        <v>240</v>
      </c>
      <c r="P20" s="49" t="n">
        <v>240</v>
      </c>
      <c r="Q20" s="49" t="n">
        <v>240</v>
      </c>
      <c r="R20" s="49" t="n">
        <v>240</v>
      </c>
      <c r="S20" s="49" t="n">
        <v>240</v>
      </c>
      <c r="T20" s="54">
        <f>SUM(H20:S20)</f>
        <v/>
      </c>
    </row>
    <row r="21" ht="26" customHeight="1">
      <c r="A21" s="47" t="inlineStr">
        <is>
          <t>TI-D05</t>
        </is>
      </c>
      <c r="B21" s="47" t="inlineStr">
        <is>
          <t>TI</t>
        </is>
      </c>
      <c r="C21" s="47" t="inlineStr">
        <is>
          <t>Despesas</t>
        </is>
      </c>
      <c r="D21" s="48" t="inlineStr">
        <is>
          <t>Pacote Office 365</t>
        </is>
      </c>
      <c r="E21" s="48" t="inlineStr">
        <is>
          <t>Licenças de software (conferir nº de licenças x usuários) — RATEIO A DEFINIR</t>
        </is>
      </c>
      <c r="F21" s="47" t="inlineStr"/>
      <c r="G21" s="47" t="inlineStr">
        <is>
          <t>Licenças de Softwares</t>
        </is>
      </c>
      <c r="H21" s="49" t="n">
        <v>375</v>
      </c>
      <c r="I21" s="49" t="n">
        <v>375</v>
      </c>
      <c r="J21" s="49" t="n">
        <v>375</v>
      </c>
      <c r="K21" s="49" t="n">
        <v>375</v>
      </c>
      <c r="L21" s="49" t="n">
        <v>375</v>
      </c>
      <c r="M21" s="49" t="n">
        <v>375</v>
      </c>
      <c r="N21" s="49" t="n">
        <v>375</v>
      </c>
      <c r="O21" s="49" t="n">
        <v>375</v>
      </c>
      <c r="P21" s="49" t="n">
        <v>375</v>
      </c>
      <c r="Q21" s="49" t="n">
        <v>375</v>
      </c>
      <c r="R21" s="49" t="n">
        <v>375</v>
      </c>
      <c r="S21" s="49" t="n">
        <v>375</v>
      </c>
      <c r="T21" s="54">
        <f>SUM(H21:S21)</f>
        <v/>
      </c>
    </row>
    <row r="22" ht="26" customHeight="1">
      <c r="A22" s="47" t="inlineStr">
        <is>
          <t>TI-D06</t>
        </is>
      </c>
      <c r="B22" s="47" t="inlineStr">
        <is>
          <t>TI</t>
        </is>
      </c>
      <c r="C22" s="47" t="inlineStr">
        <is>
          <t>Despesas</t>
        </is>
      </c>
      <c r="D22" s="48" t="inlineStr">
        <is>
          <t>Projeto Melhoria de Infraestrutura - Sala de Reunião</t>
        </is>
      </c>
      <c r="E22" s="48" t="inlineStr">
        <is>
          <t>Cadeiras, cafeteira, copos, canetas, blocos personalizados, câmeras, microfones etc.</t>
        </is>
      </c>
      <c r="F22" s="47" t="inlineStr"/>
      <c r="G22" s="47" t="inlineStr">
        <is>
          <t>Móveis e Utensílios</t>
        </is>
      </c>
      <c r="H22" s="49" t="n">
        <v>2800</v>
      </c>
      <c r="I22" s="49" t="n">
        <v>2800</v>
      </c>
      <c r="J22" s="49" t="n">
        <v>2800</v>
      </c>
      <c r="K22" s="49" t="n">
        <v>2800</v>
      </c>
      <c r="L22" s="49" t="n">
        <v>2800</v>
      </c>
      <c r="M22" s="49" t="n">
        <v>2800</v>
      </c>
      <c r="N22" s="49" t="n">
        <v>2800</v>
      </c>
      <c r="O22" s="49" t="n">
        <v>2800</v>
      </c>
      <c r="P22" s="49" t="n">
        <v>2800</v>
      </c>
      <c r="Q22" s="49" t="n">
        <v>2800</v>
      </c>
      <c r="R22" s="49" t="n">
        <v>2800</v>
      </c>
      <c r="S22" s="49" t="n">
        <v>2800</v>
      </c>
      <c r="T22" s="54">
        <f>SUM(H22:S22)</f>
        <v/>
      </c>
    </row>
    <row r="23" ht="26" customHeight="1">
      <c r="A23" s="47" t="inlineStr">
        <is>
          <t>TI-D07</t>
        </is>
      </c>
      <c r="B23" s="47" t="inlineStr">
        <is>
          <t>TI</t>
        </is>
      </c>
      <c r="C23" s="47" t="inlineStr">
        <is>
          <t>Despesas</t>
        </is>
      </c>
      <c r="D23" s="48" t="inlineStr">
        <is>
          <t>Cursos e Treinamentos</t>
        </is>
      </c>
      <c r="E23" s="48" t="inlineStr"/>
      <c r="F23" s="47" t="inlineStr"/>
      <c r="G23" s="47" t="inlineStr">
        <is>
          <t>Custeio de Treinamento</t>
        </is>
      </c>
      <c r="H23" s="49" t="n">
        <v>200</v>
      </c>
      <c r="I23" s="49" t="n">
        <v>200</v>
      </c>
      <c r="J23" s="49" t="n">
        <v>200</v>
      </c>
      <c r="K23" s="49" t="n">
        <v>200</v>
      </c>
      <c r="L23" s="49" t="n">
        <v>200</v>
      </c>
      <c r="M23" s="49" t="n">
        <v>200</v>
      </c>
      <c r="N23" s="49" t="n">
        <v>200</v>
      </c>
      <c r="O23" s="49" t="n">
        <v>200</v>
      </c>
      <c r="P23" s="49" t="n">
        <v>200</v>
      </c>
      <c r="Q23" s="49" t="n">
        <v>200</v>
      </c>
      <c r="R23" s="49" t="n">
        <v>200</v>
      </c>
      <c r="S23" s="49" t="n">
        <v>200</v>
      </c>
      <c r="T23" s="54">
        <f>SUM(H23:S23)</f>
        <v/>
      </c>
    </row>
    <row r="24" ht="26" customHeight="1">
      <c r="A24" s="47" t="inlineStr">
        <is>
          <t>TI-D08</t>
        </is>
      </c>
      <c r="B24" s="47" t="inlineStr">
        <is>
          <t>TI</t>
        </is>
      </c>
      <c r="C24" s="47" t="inlineStr">
        <is>
          <t>Despesas</t>
        </is>
      </c>
      <c r="D24" s="48" t="inlineStr">
        <is>
          <t>Aplicativo de Gravação de Reunião</t>
        </is>
      </c>
      <c r="E24" s="48" t="inlineStr"/>
      <c r="F24" s="47" t="inlineStr"/>
      <c r="G24" s="47" t="inlineStr">
        <is>
          <t>Licenças de Softwares</t>
        </is>
      </c>
      <c r="H24" s="49" t="n">
        <v>220</v>
      </c>
      <c r="I24" s="49" t="n">
        <v>220</v>
      </c>
      <c r="J24" s="49" t="n">
        <v>220</v>
      </c>
      <c r="K24" s="49" t="n">
        <v>220</v>
      </c>
      <c r="L24" s="49" t="n">
        <v>220</v>
      </c>
      <c r="M24" s="49" t="n">
        <v>220</v>
      </c>
      <c r="N24" s="49" t="n">
        <v>220</v>
      </c>
      <c r="O24" s="49" t="n">
        <v>220</v>
      </c>
      <c r="P24" s="49" t="n">
        <v>220</v>
      </c>
      <c r="Q24" s="49" t="n">
        <v>220</v>
      </c>
      <c r="R24" s="49" t="n">
        <v>220</v>
      </c>
      <c r="S24" s="49" t="n">
        <v>220</v>
      </c>
      <c r="T24" s="54">
        <f>SUM(H24:S24)</f>
        <v/>
      </c>
    </row>
    <row r="25" ht="26" customHeight="1">
      <c r="A25" s="47" t="inlineStr">
        <is>
          <t>TI-D10</t>
        </is>
      </c>
      <c r="B25" s="47" t="inlineStr">
        <is>
          <t>TI</t>
        </is>
      </c>
      <c r="C25" s="47" t="inlineStr">
        <is>
          <t>Despesas</t>
        </is>
      </c>
      <c r="D25" s="48" t="inlineStr">
        <is>
          <t>Claude</t>
        </is>
      </c>
      <c r="E25" s="48" t="inlineStr">
        <is>
          <t>Ferramenta de IA — não constava na ficha. Planejado a definir com a diretoria</t>
        </is>
      </c>
      <c r="F25" s="47" t="inlineStr"/>
      <c r="G25" s="47" t="inlineStr">
        <is>
          <t>Licenças de Softwares</t>
        </is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54">
        <f>SUM(H25:S25)</f>
        <v/>
      </c>
    </row>
    <row r="26" ht="26" customHeight="1">
      <c r="A26" s="47" t="inlineStr">
        <is>
          <t>TI-D11</t>
        </is>
      </c>
      <c r="B26" s="47" t="inlineStr">
        <is>
          <t>TI</t>
        </is>
      </c>
      <c r="C26" s="47" t="inlineStr">
        <is>
          <t>Despesas</t>
        </is>
      </c>
      <c r="D26" s="48" t="inlineStr">
        <is>
          <t>GPT</t>
        </is>
      </c>
      <c r="E26" s="48" t="inlineStr">
        <is>
          <t>Ferramenta de IA — não constava na ficha. Planejado a definir com a diretoria</t>
        </is>
      </c>
      <c r="F26" s="47" t="inlineStr"/>
      <c r="G26" s="47" t="inlineStr">
        <is>
          <t>Licenças de Softwares</t>
        </is>
      </c>
      <c r="H26" s="49" t="n">
        <v>0</v>
      </c>
      <c r="I26" s="49" t="n">
        <v>0</v>
      </c>
      <c r="J26" s="49" t="n">
        <v>0</v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54">
        <f>SUM(H26:S26)</f>
        <v/>
      </c>
    </row>
    <row r="27" ht="26" customHeight="1">
      <c r="A27" s="47" t="inlineStr">
        <is>
          <t>TI-D12</t>
        </is>
      </c>
      <c r="B27" s="47" t="inlineStr">
        <is>
          <t>TI</t>
        </is>
      </c>
      <c r="C27" s="47" t="inlineStr">
        <is>
          <t>Despesas</t>
        </is>
      </c>
      <c r="D27" s="48" t="inlineStr">
        <is>
          <t>Adapta One</t>
        </is>
      </c>
      <c r="E27" s="48" t="inlineStr">
        <is>
          <t>Ferramenta de IA — não constava na ficha. Planejado a definir com a diretoria. CONFERIR sobreposição com a linha 'Inteligência Artificial (Adapta)'</t>
        </is>
      </c>
      <c r="F27" s="47" t="inlineStr"/>
      <c r="G27" s="47" t="inlineStr">
        <is>
          <t>Licenças de Softwares</t>
        </is>
      </c>
      <c r="H27" s="49" t="n">
        <v>0</v>
      </c>
      <c r="I27" s="49" t="n">
        <v>0</v>
      </c>
      <c r="J27" s="49" t="n">
        <v>0</v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54">
        <f>SUM(H27:S27)</f>
        <v/>
      </c>
    </row>
    <row r="28" ht="26" customHeight="1">
      <c r="A28" s="47" t="inlineStr">
        <is>
          <t>TI-D13</t>
        </is>
      </c>
      <c r="B28" s="47" t="inlineStr">
        <is>
          <t>TI</t>
        </is>
      </c>
      <c r="C28" s="47" t="inlineStr">
        <is>
          <t>Despesas</t>
        </is>
      </c>
      <c r="D28" s="48" t="inlineStr">
        <is>
          <t>Adapta Skip</t>
        </is>
      </c>
      <c r="E28" s="48" t="inlineStr">
        <is>
          <t>Ferramenta de IA — não constava na ficha. Planejado a definir com a diretoria. CONFERIR o nome exato do produto e a sobreposição com 'Inteligência Artificial (Adapta)'</t>
        </is>
      </c>
      <c r="F28" s="47" t="inlineStr"/>
      <c r="G28" s="47" t="inlineStr">
        <is>
          <t>Licenças de Softwares</t>
        </is>
      </c>
      <c r="H28" s="49" t="n">
        <v>0</v>
      </c>
      <c r="I28" s="49" t="n">
        <v>0</v>
      </c>
      <c r="J28" s="49" t="n">
        <v>0</v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54">
        <f>SUM(H28:S28)</f>
        <v/>
      </c>
    </row>
    <row r="29" ht="26" customHeight="1">
      <c r="A29" s="47" t="inlineStr">
        <is>
          <t>TI-D09</t>
        </is>
      </c>
      <c r="B29" s="47" t="inlineStr">
        <is>
          <t>TI</t>
        </is>
      </c>
      <c r="C29" s="47" t="inlineStr">
        <is>
          <t>Despesas</t>
        </is>
      </c>
      <c r="D29" s="48" t="inlineStr">
        <is>
          <t>Bonificação do time</t>
        </is>
      </c>
      <c r="E29" s="48" t="inlineStr">
        <is>
          <t>Cumprimento de prazos e participação em projetos — CONFIRMAR se houve parcela no 1º quadrimestre</t>
        </is>
      </c>
      <c r="F29" s="47" t="inlineStr"/>
      <c r="G29" s="47" t="inlineStr">
        <is>
          <t>Prêmios</t>
        </is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2400</v>
      </c>
      <c r="P29" s="49" t="n">
        <v>0</v>
      </c>
      <c r="Q29" s="49" t="n">
        <v>0</v>
      </c>
      <c r="R29" s="49" t="n">
        <v>0</v>
      </c>
      <c r="S29" s="49" t="n">
        <v>3600</v>
      </c>
      <c r="T29" s="54">
        <f>SUM(H29:S29)</f>
        <v/>
      </c>
    </row>
    <row r="30">
      <c r="A30" s="16" t="inlineStr">
        <is>
          <t>TOTAL GERAL</t>
        </is>
      </c>
      <c r="B30" s="16" t="n"/>
      <c r="C30" s="16" t="n"/>
      <c r="D30" s="16" t="n"/>
      <c r="E30" s="16" t="n"/>
      <c r="F30" s="16" t="n"/>
      <c r="G30" s="16" t="n"/>
      <c r="H30" s="17">
        <f>SUM(H5:H29)</f>
        <v/>
      </c>
      <c r="I30" s="17">
        <f>SUM(I5:I29)</f>
        <v/>
      </c>
      <c r="J30" s="17">
        <f>SUM(J5:J29)</f>
        <v/>
      </c>
      <c r="K30" s="17">
        <f>SUM(K5:K29)</f>
        <v/>
      </c>
      <c r="L30" s="17">
        <f>SUM(L5:L29)</f>
        <v/>
      </c>
      <c r="M30" s="17">
        <f>SUM(M5:M29)</f>
        <v/>
      </c>
      <c r="N30" s="17">
        <f>SUM(N5:N29)</f>
        <v/>
      </c>
      <c r="O30" s="17">
        <f>SUM(O5:O29)</f>
        <v/>
      </c>
      <c r="P30" s="17">
        <f>SUM(P5:P29)</f>
        <v/>
      </c>
      <c r="Q30" s="17">
        <f>SUM(Q5:Q29)</f>
        <v/>
      </c>
      <c r="R30" s="17">
        <f>SUM(R5:R29)</f>
        <v/>
      </c>
      <c r="S30" s="17">
        <f>SUM(S5:S29)</f>
        <v/>
      </c>
      <c r="T30" s="17">
        <f>SUM(T5:T29)</f>
        <v/>
      </c>
    </row>
  </sheetData>
  <autoFilter ref="A4:T29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4" customWidth="1" min="4" max="4"/>
    <col width="42" customWidth="1" min="5" max="5"/>
    <col width="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22" customWidth="1" min="21" max="21"/>
    <col width="34" customWidth="1" min="22" max="22"/>
  </cols>
  <sheetData>
    <row r="1" ht="30" customHeight="1">
      <c r="A1" s="1" t="inlineStr">
        <is>
          <t>REALIZADO 2026  —  JURÍDICO E TI</t>
        </is>
      </c>
    </row>
    <row r="2" ht="18" customHeight="1">
      <c r="A2" s="2" t="inlineStr">
        <is>
          <t>Preencha SOMENTE as células amarelas (meses). As colunas de identificação vêm da aba Planejado. Lance o valor efetivamente pago/competência do mês. Mês sem gasto: digite 0 para diferenciar de 'ainda não lançado'.</t>
        </is>
      </c>
    </row>
    <row r="4" ht="30" customHeight="1">
      <c r="A4" s="55" t="inlineStr">
        <is>
          <t>ID</t>
        </is>
      </c>
      <c r="B4" s="55" t="inlineStr">
        <is>
          <t>Departamento</t>
        </is>
      </c>
      <c r="C4" s="55" t="inlineStr">
        <is>
          <t>Bloco</t>
        </is>
      </c>
      <c r="D4" s="55" t="inlineStr">
        <is>
          <t>Descrição</t>
        </is>
      </c>
      <c r="E4" s="55" t="inlineStr">
        <is>
          <t>Detalhe / Observação</t>
        </is>
      </c>
      <c r="F4" s="55" t="inlineStr">
        <is>
          <t>Vínculo</t>
        </is>
      </c>
      <c r="G4" s="55" t="inlineStr">
        <is>
          <t>Plano de Contas</t>
        </is>
      </c>
      <c r="H4" s="55" t="inlineStr">
        <is>
          <t>Jan/26</t>
        </is>
      </c>
      <c r="I4" s="55" t="inlineStr">
        <is>
          <t>Fev/26</t>
        </is>
      </c>
      <c r="J4" s="55" t="inlineStr">
        <is>
          <t>Mar/26</t>
        </is>
      </c>
      <c r="K4" s="55" t="inlineStr">
        <is>
          <t>Abr/26</t>
        </is>
      </c>
      <c r="L4" s="55" t="inlineStr">
        <is>
          <t>Mai/26</t>
        </is>
      </c>
      <c r="M4" s="55" t="inlineStr">
        <is>
          <t>Jun/26</t>
        </is>
      </c>
      <c r="N4" s="55" t="inlineStr">
        <is>
          <t>Jul/26</t>
        </is>
      </c>
      <c r="O4" s="55" t="inlineStr">
        <is>
          <t>Ago/26</t>
        </is>
      </c>
      <c r="P4" s="55" t="inlineStr">
        <is>
          <t>Set/26</t>
        </is>
      </c>
      <c r="Q4" s="55" t="inlineStr">
        <is>
          <t>Out/26</t>
        </is>
      </c>
      <c r="R4" s="55" t="inlineStr">
        <is>
          <t>Nov/26</t>
        </is>
      </c>
      <c r="S4" s="55" t="inlineStr">
        <is>
          <t>Dez/26</t>
        </is>
      </c>
      <c r="T4" s="55" t="inlineStr">
        <is>
          <t>TOTAL REALIZADO</t>
        </is>
      </c>
      <c r="U4" s="55" t="inlineStr">
        <is>
          <t>Fonte do dado</t>
        </is>
      </c>
      <c r="V4" s="55" t="inlineStr">
        <is>
          <t>Observações do mês</t>
        </is>
      </c>
    </row>
    <row r="5" ht="26" customHeight="1">
      <c r="A5" s="56">
        <f>Planejado!A5</f>
        <v/>
      </c>
      <c r="B5" s="56">
        <f>Planejado!B5</f>
        <v/>
      </c>
      <c r="C5" s="56">
        <f>Planejado!C5</f>
        <v/>
      </c>
      <c r="D5" s="57">
        <f>Planejado!D5</f>
        <v/>
      </c>
      <c r="E5" s="57">
        <f>Planejado!E5</f>
        <v/>
      </c>
      <c r="F5" s="56">
        <f>Planejado!F5</f>
        <v/>
      </c>
      <c r="G5" s="56">
        <f>Planejado!G5</f>
        <v/>
      </c>
      <c r="H5" s="58" t="n">
        <v>6750</v>
      </c>
      <c r="I5" s="58" t="n">
        <v>6750</v>
      </c>
      <c r="J5" s="58" t="n">
        <v>6750</v>
      </c>
      <c r="K5" s="58" t="n">
        <v>6750</v>
      </c>
      <c r="L5" s="58" t="n">
        <v>6750</v>
      </c>
      <c r="M5" s="58" t="n">
        <v>6750</v>
      </c>
      <c r="N5" s="58" t="n">
        <v>6750</v>
      </c>
      <c r="O5" s="58" t="n">
        <v>8818</v>
      </c>
      <c r="T5" s="54">
        <f>SUM(H5:S5)</f>
        <v/>
      </c>
      <c r="U5" s="59" t="inlineStr">
        <is>
          <t>Gestora, 05/08/26</t>
        </is>
      </c>
      <c r="V5" s="59" t="inlineStr">
        <is>
          <t>R$ 6.750/mês de jan a jul; R$ 8.818 pagos em 01/08 (ref. julho). Lançado por caixa</t>
        </is>
      </c>
    </row>
    <row r="6" ht="26" customHeight="1">
      <c r="A6" s="56">
        <f>Planejado!A6</f>
        <v/>
      </c>
      <c r="B6" s="56">
        <f>Planejado!B6</f>
        <v/>
      </c>
      <c r="C6" s="56">
        <f>Planejado!C6</f>
        <v/>
      </c>
      <c r="D6" s="57">
        <f>Planejado!D6</f>
        <v/>
      </c>
      <c r="E6" s="57">
        <f>Planejado!E6</f>
        <v/>
      </c>
      <c r="F6" s="56">
        <f>Planejado!F6</f>
        <v/>
      </c>
      <c r="G6" s="56">
        <f>Planejado!G6</f>
        <v/>
      </c>
      <c r="H6" s="58" t="n">
        <v>2886.91</v>
      </c>
      <c r="I6" s="58" t="n">
        <v>2886.91</v>
      </c>
      <c r="J6" s="58" t="n">
        <v>2886.91</v>
      </c>
      <c r="K6" s="58" t="n">
        <v>2886.91</v>
      </c>
      <c r="L6" s="58" t="n">
        <v>2886.91</v>
      </c>
      <c r="M6" s="58" t="n">
        <v>2886.91</v>
      </c>
      <c r="N6" s="58" t="n">
        <v>2886.91</v>
      </c>
      <c r="O6" s="58" t="n"/>
      <c r="T6" s="54">
        <f>SUM(H6:S6)</f>
        <v/>
      </c>
      <c r="U6" s="59" t="inlineStr">
        <is>
          <t>Gestora, 05/08/26</t>
        </is>
      </c>
      <c r="V6" s="59" t="inlineStr">
        <is>
          <t>SALÁRIO BRUTO, sem alteração no ano. O orçado é custo total, então o desvio desta linha NÃO é economia: faltam encargos e benefícios (~R$ 1.938,61/mês)</t>
        </is>
      </c>
    </row>
    <row r="7" ht="26" customHeight="1">
      <c r="A7" s="56">
        <f>Planejado!A7</f>
        <v/>
      </c>
      <c r="B7" s="56">
        <f>Planejado!B7</f>
        <v/>
      </c>
      <c r="C7" s="56">
        <f>Planejado!C7</f>
        <v/>
      </c>
      <c r="D7" s="57">
        <f>Planejado!D7</f>
        <v/>
      </c>
      <c r="E7" s="57">
        <f>Planejado!E7</f>
        <v/>
      </c>
      <c r="F7" s="56">
        <f>Planejado!F7</f>
        <v/>
      </c>
      <c r="G7" s="56">
        <f>Planejado!G7</f>
        <v/>
      </c>
      <c r="H7" s="58" t="n">
        <v>4500</v>
      </c>
      <c r="I7" s="58" t="n">
        <v>4500</v>
      </c>
      <c r="J7" s="58" t="n">
        <v>4500</v>
      </c>
      <c r="K7" s="58" t="n">
        <v>5500</v>
      </c>
      <c r="L7" s="58" t="n">
        <v>5500</v>
      </c>
      <c r="M7" s="58" t="n">
        <v>5500</v>
      </c>
      <c r="N7" s="58" t="n">
        <v>5500</v>
      </c>
      <c r="O7" s="58" t="n"/>
      <c r="T7" s="54">
        <f>SUM(H7:S7)</f>
        <v/>
      </c>
      <c r="U7" s="59" t="inlineStr">
        <is>
          <t>Gestora, 05/08/26</t>
        </is>
      </c>
      <c r="V7" s="59" t="inlineStr">
        <is>
          <t>R$ 4.500/mês em jan–mar; aumento de R$ 1.000 a partir de abr/26</t>
        </is>
      </c>
    </row>
    <row r="8" ht="26" customHeight="1">
      <c r="A8" s="56">
        <f>Planejado!A8</f>
        <v/>
      </c>
      <c r="B8" s="56">
        <f>Planejado!B8</f>
        <v/>
      </c>
      <c r="C8" s="56">
        <f>Planejado!C8</f>
        <v/>
      </c>
      <c r="D8" s="57">
        <f>Planejado!D8</f>
        <v/>
      </c>
      <c r="E8" s="57">
        <f>Planejado!E8</f>
        <v/>
      </c>
      <c r="F8" s="56">
        <f>Planejado!F8</f>
        <v/>
      </c>
      <c r="G8" s="56">
        <f>Planejado!G8</f>
        <v/>
      </c>
      <c r="H8" s="58" t="n">
        <v>0</v>
      </c>
      <c r="I8" s="58" t="n">
        <v>0</v>
      </c>
      <c r="J8" s="58" t="n">
        <v>0</v>
      </c>
      <c r="K8" s="58" t="n">
        <v>0</v>
      </c>
      <c r="L8" s="58" t="n">
        <v>0</v>
      </c>
      <c r="M8" s="58" t="n">
        <v>0</v>
      </c>
      <c r="N8" s="58" t="n">
        <v>0</v>
      </c>
      <c r="O8" s="58" t="n"/>
      <c r="T8" s="54">
        <f>SUM(H8:S8)</f>
        <v/>
      </c>
      <c r="U8" s="59" t="inlineStr">
        <is>
          <t>Gestora, 05/08/26</t>
        </is>
      </c>
      <c r="V8" s="59" t="inlineStr">
        <is>
          <t>Ainda não iniciado — sem cobrança</t>
        </is>
      </c>
    </row>
    <row r="9" ht="26" customHeight="1">
      <c r="A9" s="56">
        <f>Planejado!A9</f>
        <v/>
      </c>
      <c r="B9" s="56">
        <f>Planejado!B9</f>
        <v/>
      </c>
      <c r="C9" s="56">
        <f>Planejado!C9</f>
        <v/>
      </c>
      <c r="D9" s="57">
        <f>Planejado!D9</f>
        <v/>
      </c>
      <c r="E9" s="57">
        <f>Planejado!E9</f>
        <v/>
      </c>
      <c r="F9" s="56">
        <f>Planejado!F9</f>
        <v/>
      </c>
      <c r="G9" s="56">
        <f>Planejado!G9</f>
        <v/>
      </c>
      <c r="H9" s="58" t="n">
        <v>136</v>
      </c>
      <c r="I9" s="58" t="n">
        <v>136</v>
      </c>
      <c r="J9" s="58" t="n">
        <v>136</v>
      </c>
      <c r="K9" s="58" t="n">
        <v>136</v>
      </c>
      <c r="L9" s="58" t="n">
        <v>136</v>
      </c>
      <c r="M9" s="58" t="n">
        <v>136</v>
      </c>
      <c r="N9" s="58" t="n">
        <v>136</v>
      </c>
      <c r="O9" s="58" t="n"/>
      <c r="T9" s="54">
        <f>SUM(H9:S9)</f>
        <v/>
      </c>
      <c r="U9" s="59" t="inlineStr">
        <is>
          <t>Gestora, 05/08/26</t>
        </is>
      </c>
      <c r="V9" s="59" t="inlineStr">
        <is>
          <t>R$ 136,00/mês contra R$ 104,90 orçados. Erro no orçamento original</t>
        </is>
      </c>
    </row>
    <row r="10" ht="26" customHeight="1">
      <c r="A10" s="56">
        <f>Planejado!A10</f>
        <v/>
      </c>
      <c r="B10" s="56">
        <f>Planejado!B10</f>
        <v/>
      </c>
      <c r="C10" s="56">
        <f>Planejado!C10</f>
        <v/>
      </c>
      <c r="D10" s="57">
        <f>Planejado!D10</f>
        <v/>
      </c>
      <c r="E10" s="57">
        <f>Planejado!E10</f>
        <v/>
      </c>
      <c r="F10" s="56">
        <f>Planejado!F10</f>
        <v/>
      </c>
      <c r="G10" s="56">
        <f>Planejado!G10</f>
        <v/>
      </c>
      <c r="H10" s="58" t="n">
        <v>346</v>
      </c>
      <c r="I10" s="58" t="n">
        <v>346</v>
      </c>
      <c r="J10" s="58" t="n">
        <v>346</v>
      </c>
      <c r="K10" s="58" t="n">
        <v>346</v>
      </c>
      <c r="L10" s="58" t="n">
        <v>346</v>
      </c>
      <c r="M10" s="58" t="n">
        <v>346</v>
      </c>
      <c r="N10" s="58" t="n">
        <v>346</v>
      </c>
      <c r="O10" s="58" t="n"/>
      <c r="T10" s="54">
        <f>SUM(H10:S10)</f>
        <v/>
      </c>
      <c r="U10" s="59" t="inlineStr">
        <is>
          <t>Gestora, 05/08/26</t>
        </is>
      </c>
      <c r="V10" s="59" t="inlineStr">
        <is>
          <t>R$ 346,00/mês — 3x o orçado (R$ 112,07). Erro no orçamento original</t>
        </is>
      </c>
    </row>
    <row r="11" ht="26" customHeight="1">
      <c r="A11" s="56">
        <f>Planejado!A11</f>
        <v/>
      </c>
      <c r="B11" s="56">
        <f>Planejado!B11</f>
        <v/>
      </c>
      <c r="C11" s="56">
        <f>Planejado!C11</f>
        <v/>
      </c>
      <c r="D11" s="57">
        <f>Planejado!D11</f>
        <v/>
      </c>
      <c r="E11" s="57">
        <f>Planejado!E11</f>
        <v/>
      </c>
      <c r="F11" s="56">
        <f>Planejado!F11</f>
        <v/>
      </c>
      <c r="G11" s="56">
        <f>Planejado!G11</f>
        <v/>
      </c>
      <c r="H11" s="58" t="n">
        <v>970</v>
      </c>
      <c r="I11" s="58" t="n">
        <v>970</v>
      </c>
      <c r="J11" s="58" t="n">
        <v>970</v>
      </c>
      <c r="K11" s="58" t="n">
        <v>970</v>
      </c>
      <c r="L11" s="58" t="n">
        <v>970</v>
      </c>
      <c r="M11" s="58" t="n">
        <v>970</v>
      </c>
      <c r="N11" s="58" t="n">
        <v>970</v>
      </c>
      <c r="O11" s="58" t="n"/>
      <c r="T11" s="54">
        <f>SUM(H11:S11)</f>
        <v/>
      </c>
      <c r="U11" s="59" t="inlineStr">
        <is>
          <t>Gestora, 05/08/26</t>
        </is>
      </c>
      <c r="V11" s="59" t="n"/>
    </row>
    <row r="12" ht="26" customHeight="1">
      <c r="A12" s="56">
        <f>Planejado!A12</f>
        <v/>
      </c>
      <c r="B12" s="56">
        <f>Planejado!B12</f>
        <v/>
      </c>
      <c r="C12" s="56">
        <f>Planejado!C12</f>
        <v/>
      </c>
      <c r="D12" s="57">
        <f>Planejado!D12</f>
        <v/>
      </c>
      <c r="E12" s="57">
        <f>Planejado!E12</f>
        <v/>
      </c>
      <c r="F12" s="56">
        <f>Planejado!F12</f>
        <v/>
      </c>
      <c r="G12" s="56">
        <f>Planejado!G12</f>
        <v/>
      </c>
      <c r="H12" s="58" t="n">
        <v>0</v>
      </c>
      <c r="I12" s="58" t="n">
        <v>0</v>
      </c>
      <c r="J12" s="58" t="n">
        <v>0</v>
      </c>
      <c r="K12" s="58" t="n">
        <v>0</v>
      </c>
      <c r="L12" s="58" t="n">
        <v>0</v>
      </c>
      <c r="M12" s="58" t="n">
        <v>0</v>
      </c>
      <c r="N12" s="58" t="n">
        <v>0</v>
      </c>
      <c r="O12" s="58" t="n"/>
      <c r="T12" s="54">
        <f>SUM(H12:S12)</f>
        <v/>
      </c>
      <c r="U12" s="59" t="inlineStr">
        <is>
          <t>Gestora, 05/08/26</t>
        </is>
      </c>
      <c r="V12" s="59" t="inlineStr">
        <is>
          <t>Sem gasto no período</t>
        </is>
      </c>
    </row>
    <row r="13" ht="26" customHeight="1">
      <c r="A13" s="56">
        <f>Planejado!A13</f>
        <v/>
      </c>
      <c r="B13" s="56">
        <f>Planejado!B13</f>
        <v/>
      </c>
      <c r="C13" s="56">
        <f>Planejado!C13</f>
        <v/>
      </c>
      <c r="D13" s="57">
        <f>Planejado!D13</f>
        <v/>
      </c>
      <c r="E13" s="57">
        <f>Planejado!E13</f>
        <v/>
      </c>
      <c r="F13" s="56">
        <f>Planejado!F13</f>
        <v/>
      </c>
      <c r="G13" s="56">
        <f>Planejado!G13</f>
        <v/>
      </c>
      <c r="H13" s="58" t="n">
        <v>0</v>
      </c>
      <c r="I13" s="58" t="n">
        <v>0</v>
      </c>
      <c r="J13" s="58" t="n">
        <v>0</v>
      </c>
      <c r="K13" s="58" t="n">
        <v>0</v>
      </c>
      <c r="L13" s="58" t="n">
        <v>0</v>
      </c>
      <c r="M13" s="58" t="n">
        <v>0</v>
      </c>
      <c r="N13" s="58" t="n">
        <v>0</v>
      </c>
      <c r="O13" s="58" t="n"/>
      <c r="T13" s="54">
        <f>SUM(H13:S13)</f>
        <v/>
      </c>
      <c r="U13" s="59" t="inlineStr">
        <is>
          <t>Gestora, 05/08/26</t>
        </is>
      </c>
      <c r="V13" s="59" t="inlineStr">
        <is>
          <t>Sem parcela no 1º semestre; bonificação de ago/26 a confirmar</t>
        </is>
      </c>
    </row>
    <row r="14" ht="26" customHeight="1">
      <c r="A14" s="56">
        <f>Planejado!A14</f>
        <v/>
      </c>
      <c r="B14" s="56">
        <f>Planejado!B14</f>
        <v/>
      </c>
      <c r="C14" s="56">
        <f>Planejado!C14</f>
        <v/>
      </c>
      <c r="D14" s="57">
        <f>Planejado!D14</f>
        <v/>
      </c>
      <c r="E14" s="57">
        <f>Planejado!E14</f>
        <v/>
      </c>
      <c r="F14" s="56">
        <f>Planejado!F14</f>
        <v/>
      </c>
      <c r="G14" s="56">
        <f>Planejado!G14</f>
        <v/>
      </c>
      <c r="H14" s="58" t="n"/>
      <c r="I14" s="58" t="n"/>
      <c r="J14" s="58" t="n"/>
      <c r="K14" s="58" t="n"/>
      <c r="L14" s="58" t="n"/>
      <c r="M14" s="58" t="n"/>
      <c r="N14" s="58" t="n"/>
      <c r="O14" s="58" t="n"/>
      <c r="T14" s="54">
        <f>SUM(H14:S14)</f>
        <v/>
      </c>
      <c r="U14" s="59" t="n"/>
      <c r="V14" s="59" t="inlineStr">
        <is>
          <t>PREENCHER com o CUSTO TOTAL. Bruto: R$ 2.570,52/mês até jul e R$ 3.070,52 de ago — faltam encargos e benefícios</t>
        </is>
      </c>
    </row>
    <row r="15" ht="26" customHeight="1">
      <c r="A15" s="56">
        <f>Planejado!A15</f>
        <v/>
      </c>
      <c r="B15" s="56">
        <f>Planejado!B15</f>
        <v/>
      </c>
      <c r="C15" s="56">
        <f>Planejado!C15</f>
        <v/>
      </c>
      <c r="D15" s="57">
        <f>Planejado!D15</f>
        <v/>
      </c>
      <c r="E15" s="57">
        <f>Planejado!E15</f>
        <v/>
      </c>
      <c r="F15" s="56">
        <f>Planejado!F15</f>
        <v/>
      </c>
      <c r="G15" s="56">
        <f>Planejado!G15</f>
        <v/>
      </c>
      <c r="H15" s="58" t="n">
        <v>0</v>
      </c>
      <c r="I15" s="58" t="n">
        <v>0</v>
      </c>
      <c r="J15" s="58" t="n">
        <v>0</v>
      </c>
      <c r="K15" s="58" t="n">
        <v>0</v>
      </c>
      <c r="L15" s="58" t="n">
        <v>0</v>
      </c>
      <c r="M15" s="58" t="n">
        <v>0</v>
      </c>
      <c r="N15" s="58" t="n">
        <v>0</v>
      </c>
      <c r="O15" s="58" t="n"/>
      <c r="T15" s="54">
        <f>SUM(H15:S15)</f>
        <v/>
      </c>
      <c r="U15" s="59" t="inlineStr">
        <is>
          <t>Gestora, 05/08/26</t>
        </is>
      </c>
      <c r="V15" s="59" t="inlineStr">
        <is>
          <t>Sem acionamento no período — confirmar se o contrato segue ativo</t>
        </is>
      </c>
    </row>
    <row r="16" ht="26" customHeight="1">
      <c r="A16" s="56">
        <f>Planejado!A16</f>
        <v/>
      </c>
      <c r="B16" s="56">
        <f>Planejado!B16</f>
        <v/>
      </c>
      <c r="C16" s="56">
        <f>Planejado!C16</f>
        <v/>
      </c>
      <c r="D16" s="57">
        <f>Planejado!D16</f>
        <v/>
      </c>
      <c r="E16" s="57">
        <f>Planejado!E16</f>
        <v/>
      </c>
      <c r="F16" s="56">
        <f>Planejado!F16</f>
        <v/>
      </c>
      <c r="G16" s="56">
        <f>Planejado!G16</f>
        <v/>
      </c>
      <c r="H16" s="58" t="n">
        <v>0</v>
      </c>
      <c r="I16" s="58" t="n">
        <v>0</v>
      </c>
      <c r="J16" s="58" t="n">
        <v>0</v>
      </c>
      <c r="K16" s="58" t="n">
        <v>6300</v>
      </c>
      <c r="L16" s="58" t="n">
        <v>6300</v>
      </c>
      <c r="M16" s="58" t="n">
        <v>6300</v>
      </c>
      <c r="N16" s="58" t="n">
        <v>6300</v>
      </c>
      <c r="O16" s="58" t="n"/>
      <c r="T16" s="54">
        <f>SUM(H16:S16)</f>
        <v/>
      </c>
      <c r="U16" s="59" t="inlineStr">
        <is>
          <t>Gestora, 05/08/26</t>
        </is>
      </c>
      <c r="V16" s="59" t="inlineStr">
        <is>
          <t>Entrada em abr/26. R$ 3.700/mês abaixo do contratado — confirmar escopo</t>
        </is>
      </c>
    </row>
    <row r="17" ht="26" customHeight="1">
      <c r="A17" s="56">
        <f>Planejado!A17</f>
        <v/>
      </c>
      <c r="B17" s="56">
        <f>Planejado!B17</f>
        <v/>
      </c>
      <c r="C17" s="56">
        <f>Planejado!C17</f>
        <v/>
      </c>
      <c r="D17" s="57">
        <f>Planejado!D17</f>
        <v/>
      </c>
      <c r="E17" s="57">
        <f>Planejado!E17</f>
        <v/>
      </c>
      <c r="F17" s="56">
        <f>Planejado!F17</f>
        <v/>
      </c>
      <c r="G17" s="56">
        <f>Planejado!G17</f>
        <v/>
      </c>
      <c r="H17" s="58" t="n"/>
      <c r="I17" s="58" t="n"/>
      <c r="J17" s="58" t="n"/>
      <c r="K17" s="58" t="n"/>
      <c r="L17" s="58" t="n"/>
      <c r="M17" s="58" t="n"/>
      <c r="N17" s="58" t="n"/>
      <c r="O17" s="58" t="n"/>
      <c r="T17" s="54">
        <f>SUM(H17:S17)</f>
        <v/>
      </c>
      <c r="U17" s="59" t="n"/>
      <c r="V17" s="59" t="n"/>
    </row>
    <row r="18" ht="26" customHeight="1">
      <c r="A18" s="56">
        <f>Planejado!A18</f>
        <v/>
      </c>
      <c r="B18" s="56">
        <f>Planejado!B18</f>
        <v/>
      </c>
      <c r="C18" s="56">
        <f>Planejado!C18</f>
        <v/>
      </c>
      <c r="D18" s="57">
        <f>Planejado!D18</f>
        <v/>
      </c>
      <c r="E18" s="57">
        <f>Planejado!E18</f>
        <v/>
      </c>
      <c r="F18" s="56">
        <f>Planejado!F18</f>
        <v/>
      </c>
      <c r="G18" s="56">
        <f>Planejado!G18</f>
        <v/>
      </c>
      <c r="H18" s="58" t="n"/>
      <c r="I18" s="58" t="n"/>
      <c r="J18" s="58" t="n"/>
      <c r="K18" s="58" t="n"/>
      <c r="L18" s="58" t="n"/>
      <c r="M18" s="58" t="n"/>
      <c r="N18" s="58" t="n"/>
      <c r="O18" s="58" t="n"/>
      <c r="T18" s="54">
        <f>SUM(H18:S18)</f>
        <v/>
      </c>
      <c r="U18" s="59" t="n"/>
      <c r="V18" s="59" t="n"/>
    </row>
    <row r="19" ht="26" customHeight="1">
      <c r="A19" s="56">
        <f>Planejado!A19</f>
        <v/>
      </c>
      <c r="B19" s="56">
        <f>Planejado!B19</f>
        <v/>
      </c>
      <c r="C19" s="56">
        <f>Planejado!C19</f>
        <v/>
      </c>
      <c r="D19" s="57">
        <f>Planejado!D19</f>
        <v/>
      </c>
      <c r="E19" s="57">
        <f>Planejado!E19</f>
        <v/>
      </c>
      <c r="F19" s="56">
        <f>Planejado!F19</f>
        <v/>
      </c>
      <c r="G19" s="56">
        <f>Planejado!G19</f>
        <v/>
      </c>
      <c r="H19" s="58" t="n"/>
      <c r="I19" s="58" t="n"/>
      <c r="J19" s="58" t="n"/>
      <c r="K19" s="58" t="n"/>
      <c r="L19" s="58" t="n"/>
      <c r="M19" s="58" t="n"/>
      <c r="N19" s="58" t="n"/>
      <c r="O19" s="58" t="n"/>
      <c r="T19" s="54">
        <f>SUM(H19:S19)</f>
        <v/>
      </c>
      <c r="U19" s="59" t="n"/>
      <c r="V19" s="59" t="n"/>
    </row>
    <row r="20" ht="26" customHeight="1">
      <c r="A20" s="56">
        <f>Planejado!A20</f>
        <v/>
      </c>
      <c r="B20" s="56">
        <f>Planejado!B20</f>
        <v/>
      </c>
      <c r="C20" s="56">
        <f>Planejado!C20</f>
        <v/>
      </c>
      <c r="D20" s="57">
        <f>Planejado!D20</f>
        <v/>
      </c>
      <c r="E20" s="57">
        <f>Planejado!E20</f>
        <v/>
      </c>
      <c r="F20" s="56">
        <f>Planejado!F20</f>
        <v/>
      </c>
      <c r="G20" s="56">
        <f>Planejado!G20</f>
        <v/>
      </c>
      <c r="H20" s="58" t="n"/>
      <c r="I20" s="58" t="n"/>
      <c r="J20" s="58" t="n"/>
      <c r="K20" s="58" t="n"/>
      <c r="L20" s="58" t="n"/>
      <c r="M20" s="58" t="n"/>
      <c r="N20" s="58" t="n"/>
      <c r="O20" s="58" t="n"/>
      <c r="T20" s="54">
        <f>SUM(H20:S20)</f>
        <v/>
      </c>
      <c r="U20" s="59" t="n"/>
      <c r="V20" s="59" t="n"/>
    </row>
    <row r="21" ht="26" customHeight="1">
      <c r="A21" s="56">
        <f>Planejado!A21</f>
        <v/>
      </c>
      <c r="B21" s="56">
        <f>Planejado!B21</f>
        <v/>
      </c>
      <c r="C21" s="56">
        <f>Planejado!C21</f>
        <v/>
      </c>
      <c r="D21" s="57">
        <f>Planejado!D21</f>
        <v/>
      </c>
      <c r="E21" s="57">
        <f>Planejado!E21</f>
        <v/>
      </c>
      <c r="F21" s="56">
        <f>Planejado!F21</f>
        <v/>
      </c>
      <c r="G21" s="56">
        <f>Planejado!G21</f>
        <v/>
      </c>
      <c r="H21" s="58" t="n"/>
      <c r="I21" s="58" t="n"/>
      <c r="J21" s="58" t="n"/>
      <c r="K21" s="58" t="n"/>
      <c r="L21" s="58" t="n"/>
      <c r="M21" s="58" t="n"/>
      <c r="N21" s="58" t="n"/>
      <c r="O21" s="58" t="n"/>
      <c r="T21" s="54">
        <f>SUM(H21:S21)</f>
        <v/>
      </c>
      <c r="U21" s="59" t="n"/>
      <c r="V21" s="59" t="n"/>
    </row>
    <row r="22" ht="26" customHeight="1">
      <c r="A22" s="56">
        <f>Planejado!A22</f>
        <v/>
      </c>
      <c r="B22" s="56">
        <f>Planejado!B22</f>
        <v/>
      </c>
      <c r="C22" s="56">
        <f>Planejado!C22</f>
        <v/>
      </c>
      <c r="D22" s="57">
        <f>Planejado!D22</f>
        <v/>
      </c>
      <c r="E22" s="57">
        <f>Planejado!E22</f>
        <v/>
      </c>
      <c r="F22" s="56">
        <f>Planejado!F22</f>
        <v/>
      </c>
      <c r="G22" s="56">
        <f>Planejado!G22</f>
        <v/>
      </c>
      <c r="H22" s="58" t="n"/>
      <c r="I22" s="58" t="n"/>
      <c r="J22" s="58" t="n"/>
      <c r="K22" s="58" t="n"/>
      <c r="L22" s="58" t="n"/>
      <c r="M22" s="58" t="n"/>
      <c r="N22" s="58" t="n"/>
      <c r="O22" s="58" t="n"/>
      <c r="T22" s="54">
        <f>SUM(H22:S22)</f>
        <v/>
      </c>
      <c r="U22" s="59" t="n"/>
      <c r="V22" s="59" t="n"/>
    </row>
    <row r="23" ht="26" customHeight="1">
      <c r="A23" s="56">
        <f>Planejado!A23</f>
        <v/>
      </c>
      <c r="B23" s="56">
        <f>Planejado!B23</f>
        <v/>
      </c>
      <c r="C23" s="56">
        <f>Planejado!C23</f>
        <v/>
      </c>
      <c r="D23" s="57">
        <f>Planejado!D23</f>
        <v/>
      </c>
      <c r="E23" s="57">
        <f>Planejado!E23</f>
        <v/>
      </c>
      <c r="F23" s="56">
        <f>Planejado!F23</f>
        <v/>
      </c>
      <c r="G23" s="56">
        <f>Planejado!G23</f>
        <v/>
      </c>
      <c r="H23" s="58" t="n"/>
      <c r="I23" s="58" t="n"/>
      <c r="J23" s="58" t="n"/>
      <c r="K23" s="58" t="n"/>
      <c r="L23" s="58" t="n"/>
      <c r="M23" s="58" t="n"/>
      <c r="N23" s="58" t="n"/>
      <c r="O23" s="58" t="n"/>
      <c r="T23" s="54">
        <f>SUM(H23:S23)</f>
        <v/>
      </c>
      <c r="U23" s="59" t="n"/>
      <c r="V23" s="59" t="n"/>
    </row>
    <row r="24" ht="26" customHeight="1">
      <c r="A24" s="56">
        <f>Planejado!A24</f>
        <v/>
      </c>
      <c r="B24" s="56">
        <f>Planejado!B24</f>
        <v/>
      </c>
      <c r="C24" s="56">
        <f>Planejado!C24</f>
        <v/>
      </c>
      <c r="D24" s="57">
        <f>Planejado!D24</f>
        <v/>
      </c>
      <c r="E24" s="57">
        <f>Planejado!E24</f>
        <v/>
      </c>
      <c r="F24" s="56">
        <f>Planejado!F24</f>
        <v/>
      </c>
      <c r="G24" s="56">
        <f>Planejado!G24</f>
        <v/>
      </c>
      <c r="H24" s="58" t="n"/>
      <c r="I24" s="58" t="n"/>
      <c r="J24" s="58" t="n"/>
      <c r="K24" s="58" t="n"/>
      <c r="L24" s="58" t="n"/>
      <c r="M24" s="58" t="n"/>
      <c r="N24" s="58" t="n"/>
      <c r="O24" s="58" t="n"/>
      <c r="T24" s="54">
        <f>SUM(H24:S24)</f>
        <v/>
      </c>
      <c r="U24" s="59" t="n"/>
      <c r="V24" s="59" t="n"/>
    </row>
    <row r="25" ht="26" customHeight="1">
      <c r="A25" s="56">
        <f>Planejado!A25</f>
        <v/>
      </c>
      <c r="B25" s="56">
        <f>Planejado!B25</f>
        <v/>
      </c>
      <c r="C25" s="56">
        <f>Planejado!C25</f>
        <v/>
      </c>
      <c r="D25" s="57">
        <f>Planejado!D25</f>
        <v/>
      </c>
      <c r="E25" s="57">
        <f>Planejado!E25</f>
        <v/>
      </c>
      <c r="F25" s="56">
        <f>Planejado!F25</f>
        <v/>
      </c>
      <c r="G25" s="56">
        <f>Planejado!G25</f>
        <v/>
      </c>
      <c r="H25" s="58" t="n"/>
      <c r="I25" s="58" t="n"/>
      <c r="J25" s="58" t="n"/>
      <c r="K25" s="58" t="n"/>
      <c r="L25" s="58" t="n"/>
      <c r="M25" s="58" t="n"/>
      <c r="N25" s="58" t="n"/>
      <c r="O25" s="58" t="n"/>
      <c r="T25" s="54">
        <f>SUM(H25:S25)</f>
        <v/>
      </c>
      <c r="U25" s="59" t="n"/>
      <c r="V25" s="59" t="n"/>
    </row>
    <row r="26" ht="26" customHeight="1">
      <c r="A26" s="56">
        <f>Planejado!A26</f>
        <v/>
      </c>
      <c r="B26" s="56">
        <f>Planejado!B26</f>
        <v/>
      </c>
      <c r="C26" s="56">
        <f>Planejado!C26</f>
        <v/>
      </c>
      <c r="D26" s="57">
        <f>Planejado!D26</f>
        <v/>
      </c>
      <c r="E26" s="57">
        <f>Planejado!E26</f>
        <v/>
      </c>
      <c r="F26" s="56">
        <f>Planejado!F26</f>
        <v/>
      </c>
      <c r="G26" s="56">
        <f>Planejado!G26</f>
        <v/>
      </c>
      <c r="H26" s="58" t="n"/>
      <c r="I26" s="58" t="n"/>
      <c r="J26" s="58" t="n"/>
      <c r="K26" s="58" t="n"/>
      <c r="L26" s="58" t="n"/>
      <c r="M26" s="58" t="n"/>
      <c r="N26" s="58" t="n"/>
      <c r="O26" s="58" t="n"/>
      <c r="T26" s="54">
        <f>SUM(H26:S26)</f>
        <v/>
      </c>
      <c r="U26" s="59" t="n"/>
      <c r="V26" s="59" t="n"/>
    </row>
    <row r="27" ht="26" customHeight="1">
      <c r="A27" s="56">
        <f>Planejado!A27</f>
        <v/>
      </c>
      <c r="B27" s="56">
        <f>Planejado!B27</f>
        <v/>
      </c>
      <c r="C27" s="56">
        <f>Planejado!C27</f>
        <v/>
      </c>
      <c r="D27" s="57">
        <f>Planejado!D27</f>
        <v/>
      </c>
      <c r="E27" s="57">
        <f>Planejado!E27</f>
        <v/>
      </c>
      <c r="F27" s="56">
        <f>Planejado!F27</f>
        <v/>
      </c>
      <c r="G27" s="56">
        <f>Planejado!G27</f>
        <v/>
      </c>
      <c r="H27" s="58" t="n"/>
      <c r="I27" s="58" t="n"/>
      <c r="J27" s="58" t="n"/>
      <c r="K27" s="58" t="n"/>
      <c r="L27" s="58" t="n"/>
      <c r="M27" s="58" t="n"/>
      <c r="N27" s="58" t="n"/>
      <c r="O27" s="58" t="n"/>
      <c r="T27" s="54">
        <f>SUM(H27:S27)</f>
        <v/>
      </c>
      <c r="U27" s="59" t="n"/>
      <c r="V27" s="59" t="n"/>
    </row>
    <row r="28" ht="26" customHeight="1">
      <c r="A28" s="56">
        <f>Planejado!A28</f>
        <v/>
      </c>
      <c r="B28" s="56">
        <f>Planejado!B28</f>
        <v/>
      </c>
      <c r="C28" s="56">
        <f>Planejado!C28</f>
        <v/>
      </c>
      <c r="D28" s="57">
        <f>Planejado!D28</f>
        <v/>
      </c>
      <c r="E28" s="57">
        <f>Planejado!E28</f>
        <v/>
      </c>
      <c r="F28" s="56">
        <f>Planejado!F28</f>
        <v/>
      </c>
      <c r="G28" s="56">
        <f>Planejado!G28</f>
        <v/>
      </c>
      <c r="H28" s="58" t="n"/>
      <c r="I28" s="58" t="n"/>
      <c r="J28" s="58" t="n"/>
      <c r="K28" s="58" t="n"/>
      <c r="L28" s="58" t="n"/>
      <c r="M28" s="58" t="n"/>
      <c r="N28" s="58" t="n"/>
      <c r="O28" s="58" t="n"/>
      <c r="T28" s="54">
        <f>SUM(H28:S28)</f>
        <v/>
      </c>
      <c r="U28" s="59" t="n"/>
      <c r="V28" s="59" t="n"/>
    </row>
    <row r="29" ht="26" customHeight="1">
      <c r="A29" s="56">
        <f>Planejado!A29</f>
        <v/>
      </c>
      <c r="B29" s="56">
        <f>Planejado!B29</f>
        <v/>
      </c>
      <c r="C29" s="56">
        <f>Planejado!C29</f>
        <v/>
      </c>
      <c r="D29" s="57">
        <f>Planejado!D29</f>
        <v/>
      </c>
      <c r="E29" s="57">
        <f>Planejado!E29</f>
        <v/>
      </c>
      <c r="F29" s="56">
        <f>Planejado!F29</f>
        <v/>
      </c>
      <c r="G29" s="56">
        <f>Planejado!G29</f>
        <v/>
      </c>
      <c r="H29" s="58" t="n"/>
      <c r="I29" s="58" t="n"/>
      <c r="J29" s="58" t="n"/>
      <c r="K29" s="58" t="n"/>
      <c r="L29" s="58" t="n"/>
      <c r="M29" s="58" t="n"/>
      <c r="N29" s="58" t="n"/>
      <c r="O29" s="58" t="n"/>
      <c r="T29" s="54">
        <f>SUM(H29:S29)</f>
        <v/>
      </c>
      <c r="U29" s="59" t="n"/>
      <c r="V29" s="59" t="n"/>
    </row>
    <row r="30">
      <c r="A30" s="60" t="inlineStr">
        <is>
          <t>TOTAL GERAL</t>
        </is>
      </c>
      <c r="B30" s="60" t="n"/>
      <c r="C30" s="60" t="n"/>
      <c r="D30" s="60" t="n"/>
      <c r="E30" s="60" t="n"/>
      <c r="F30" s="60" t="n"/>
      <c r="G30" s="60" t="n"/>
      <c r="H30" s="61">
        <f>SUM(H5:H29)</f>
        <v/>
      </c>
      <c r="I30" s="61">
        <f>SUM(I5:I29)</f>
        <v/>
      </c>
      <c r="J30" s="61">
        <f>SUM(J5:J29)</f>
        <v/>
      </c>
      <c r="K30" s="61">
        <f>SUM(K5:K29)</f>
        <v/>
      </c>
      <c r="L30" s="61">
        <f>SUM(L5:L29)</f>
        <v/>
      </c>
      <c r="M30" s="61">
        <f>SUM(M5:M29)</f>
        <v/>
      </c>
      <c r="N30" s="61">
        <f>SUM(N5:N29)</f>
        <v/>
      </c>
      <c r="O30" s="61">
        <f>SUM(O5:O29)</f>
        <v/>
      </c>
      <c r="P30" s="61">
        <f>SUM(P5:P29)</f>
        <v/>
      </c>
      <c r="Q30" s="61">
        <f>SUM(Q5:Q29)</f>
        <v/>
      </c>
      <c r="R30" s="61">
        <f>SUM(R5:R29)</f>
        <v/>
      </c>
      <c r="S30" s="61">
        <f>SUM(S5:S29)</f>
        <v/>
      </c>
      <c r="T30" s="61">
        <f>SUM(T5:T29)</f>
        <v/>
      </c>
      <c r="U30" s="60" t="n"/>
      <c r="V30" s="60" t="n"/>
    </row>
  </sheetData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EVOLUÇÃO MENSAL  —  Planejado x Realizado</t>
        </is>
      </c>
    </row>
    <row r="2" ht="18" customHeight="1">
      <c r="A2" s="2" t="inlineStr">
        <is>
          <t>Visão mês a mês do consolidado e por departamento. Alimenta gráficos e a leitura de tendência.</t>
        </is>
      </c>
    </row>
    <row r="4" ht="30" customHeight="1">
      <c r="A4" s="7" t="inlineStr">
        <is>
          <t>Mês</t>
        </is>
      </c>
      <c r="B4" s="7" t="inlineStr">
        <is>
          <t>Jurídico Plan.</t>
        </is>
      </c>
      <c r="C4" s="7" t="inlineStr">
        <is>
          <t>Jurídico Real.</t>
        </is>
      </c>
      <c r="D4" s="7" t="inlineStr">
        <is>
          <t>TI Plan.</t>
        </is>
      </c>
      <c r="E4" s="7" t="inlineStr">
        <is>
          <t>TI Real.</t>
        </is>
      </c>
      <c r="F4" s="7" t="inlineStr">
        <is>
          <t>Total Plan.</t>
        </is>
      </c>
      <c r="G4" s="7" t="inlineStr">
        <is>
          <t>Total Real.</t>
        </is>
      </c>
      <c r="H4" s="7" t="inlineStr">
        <is>
          <t>Desvio do mês (R$)</t>
        </is>
      </c>
      <c r="I4" s="7" t="inlineStr">
        <is>
          <t>Planejado acum.</t>
        </is>
      </c>
      <c r="J4" s="7" t="inlineStr">
        <is>
          <t>Realizado acum.</t>
        </is>
      </c>
    </row>
    <row r="5" ht="20" customHeight="1">
      <c r="A5" s="62" t="inlineStr">
        <is>
          <t>Jan/26</t>
        </is>
      </c>
      <c r="B5" s="42">
        <f>SUMIFS(Planejado!$H$5:$H$29,Planejado!$B$5:$B$29,"Jurídico")</f>
        <v/>
      </c>
      <c r="C5" s="42">
        <f>SUMIFS(Realizado!$H$5:$H$29,Realizado!$B$5:$B$29,"Jurídico")</f>
        <v/>
      </c>
      <c r="D5" s="42">
        <f>SUMIFS(Planejado!$H$5:$H$29,Planejado!$B$5:$B$29,"TI")</f>
        <v/>
      </c>
      <c r="E5" s="42">
        <f>SUMIFS(Realizado!$H$5:$H$29,Realizado!$B$5:$B$29,"TI")</f>
        <v/>
      </c>
      <c r="F5" s="42">
        <f>B5+D5</f>
        <v/>
      </c>
      <c r="G5" s="42">
        <f>C5+E5</f>
        <v/>
      </c>
      <c r="H5" s="42">
        <f>G5-F5</f>
        <v/>
      </c>
      <c r="I5" s="42">
        <f>SUM($F$5:F5)</f>
        <v/>
      </c>
      <c r="J5" s="42">
        <f>SUM($G$5:G5)</f>
        <v/>
      </c>
    </row>
    <row r="6" ht="20" customHeight="1">
      <c r="A6" s="63" t="inlineStr">
        <is>
          <t>Fev/26</t>
        </is>
      </c>
      <c r="B6" s="49">
        <f>SUMIFS(Planejado!$I$5:$I$29,Planejado!$B$5:$B$29,"Jurídico")</f>
        <v/>
      </c>
      <c r="C6" s="49">
        <f>SUMIFS(Realizado!$I$5:$I$29,Realizado!$B$5:$B$29,"Jurídico")</f>
        <v/>
      </c>
      <c r="D6" s="49">
        <f>SUMIFS(Planejado!$I$5:$I$29,Planejado!$B$5:$B$29,"TI")</f>
        <v/>
      </c>
      <c r="E6" s="49">
        <f>SUMIFS(Realizado!$I$5:$I$29,Realizado!$B$5:$B$29,"TI")</f>
        <v/>
      </c>
      <c r="F6" s="49">
        <f>B6+D6</f>
        <v/>
      </c>
      <c r="G6" s="49">
        <f>C6+E6</f>
        <v/>
      </c>
      <c r="H6" s="49">
        <f>G6-F6</f>
        <v/>
      </c>
      <c r="I6" s="49">
        <f>SUM($F$5:F6)</f>
        <v/>
      </c>
      <c r="J6" s="49">
        <f>SUM($G$5:G6)</f>
        <v/>
      </c>
    </row>
    <row r="7" ht="20" customHeight="1">
      <c r="A7" s="62" t="inlineStr">
        <is>
          <t>Mar/26</t>
        </is>
      </c>
      <c r="B7" s="42">
        <f>SUMIFS(Planejado!$J$5:$J$29,Planejado!$B$5:$B$29,"Jurídico")</f>
        <v/>
      </c>
      <c r="C7" s="42">
        <f>SUMIFS(Realizado!$J$5:$J$29,Realizado!$B$5:$B$29,"Jurídico")</f>
        <v/>
      </c>
      <c r="D7" s="42">
        <f>SUMIFS(Planejado!$J$5:$J$29,Planejado!$B$5:$B$29,"TI")</f>
        <v/>
      </c>
      <c r="E7" s="42">
        <f>SUMIFS(Realizado!$J$5:$J$29,Realizado!$B$5:$B$29,"TI")</f>
        <v/>
      </c>
      <c r="F7" s="42">
        <f>B7+D7</f>
        <v/>
      </c>
      <c r="G7" s="42">
        <f>C7+E7</f>
        <v/>
      </c>
      <c r="H7" s="42">
        <f>G7-F7</f>
        <v/>
      </c>
      <c r="I7" s="42">
        <f>SUM($F$5:F7)</f>
        <v/>
      </c>
      <c r="J7" s="42">
        <f>SUM($G$5:G7)</f>
        <v/>
      </c>
    </row>
    <row r="8" ht="20" customHeight="1">
      <c r="A8" s="63" t="inlineStr">
        <is>
          <t>Abr/26</t>
        </is>
      </c>
      <c r="B8" s="49">
        <f>SUMIFS(Planejado!$K$5:$K$29,Planejado!$B$5:$B$29,"Jurídico")</f>
        <v/>
      </c>
      <c r="C8" s="49">
        <f>SUMIFS(Realizado!$K$5:$K$29,Realizado!$B$5:$B$29,"Jurídico")</f>
        <v/>
      </c>
      <c r="D8" s="49">
        <f>SUMIFS(Planejado!$K$5:$K$29,Planejado!$B$5:$B$29,"TI")</f>
        <v/>
      </c>
      <c r="E8" s="49">
        <f>SUMIFS(Realizado!$K$5:$K$29,Realizado!$B$5:$B$29,"TI")</f>
        <v/>
      </c>
      <c r="F8" s="49">
        <f>B8+D8</f>
        <v/>
      </c>
      <c r="G8" s="49">
        <f>C8+E8</f>
        <v/>
      </c>
      <c r="H8" s="49">
        <f>G8-F8</f>
        <v/>
      </c>
      <c r="I8" s="49">
        <f>SUM($F$5:F8)</f>
        <v/>
      </c>
      <c r="J8" s="49">
        <f>SUM($G$5:G8)</f>
        <v/>
      </c>
    </row>
    <row r="9" ht="20" customHeight="1">
      <c r="A9" s="62" t="inlineStr">
        <is>
          <t>Mai/26</t>
        </is>
      </c>
      <c r="B9" s="42">
        <f>SUMIFS(Planejado!$L$5:$L$29,Planejado!$B$5:$B$29,"Jurídico")</f>
        <v/>
      </c>
      <c r="C9" s="42">
        <f>SUMIFS(Realizado!$L$5:$L$29,Realizado!$B$5:$B$29,"Jurídico")</f>
        <v/>
      </c>
      <c r="D9" s="42">
        <f>SUMIFS(Planejado!$L$5:$L$29,Planejado!$B$5:$B$29,"TI")</f>
        <v/>
      </c>
      <c r="E9" s="42">
        <f>SUMIFS(Realizado!$L$5:$L$29,Realizado!$B$5:$B$29,"TI")</f>
        <v/>
      </c>
      <c r="F9" s="42">
        <f>B9+D9</f>
        <v/>
      </c>
      <c r="G9" s="42">
        <f>C9+E9</f>
        <v/>
      </c>
      <c r="H9" s="42">
        <f>G9-F9</f>
        <v/>
      </c>
      <c r="I9" s="42">
        <f>SUM($F$5:F9)</f>
        <v/>
      </c>
      <c r="J9" s="42">
        <f>SUM($G$5:G9)</f>
        <v/>
      </c>
    </row>
    <row r="10" ht="20" customHeight="1">
      <c r="A10" s="63" t="inlineStr">
        <is>
          <t>Jun/26</t>
        </is>
      </c>
      <c r="B10" s="49">
        <f>SUMIFS(Planejado!$M$5:$M$29,Planejado!$B$5:$B$29,"Jurídico")</f>
        <v/>
      </c>
      <c r="C10" s="49">
        <f>SUMIFS(Realizado!$M$5:$M$29,Realizado!$B$5:$B$29,"Jurídico")</f>
        <v/>
      </c>
      <c r="D10" s="49">
        <f>SUMIFS(Planejado!$M$5:$M$29,Planejado!$B$5:$B$29,"TI")</f>
        <v/>
      </c>
      <c r="E10" s="49">
        <f>SUMIFS(Realizado!$M$5:$M$29,Realizado!$B$5:$B$29,"TI")</f>
        <v/>
      </c>
      <c r="F10" s="49">
        <f>B10+D10</f>
        <v/>
      </c>
      <c r="G10" s="49">
        <f>C10+E10</f>
        <v/>
      </c>
      <c r="H10" s="49">
        <f>G10-F10</f>
        <v/>
      </c>
      <c r="I10" s="49">
        <f>SUM($F$5:F10)</f>
        <v/>
      </c>
      <c r="J10" s="49">
        <f>SUM($G$5:G10)</f>
        <v/>
      </c>
    </row>
    <row r="11" ht="20" customHeight="1">
      <c r="A11" s="62" t="inlineStr">
        <is>
          <t>Jul/26</t>
        </is>
      </c>
      <c r="B11" s="42">
        <f>SUMIFS(Planejado!$N$5:$N$29,Planejado!$B$5:$B$29,"Jurídico")</f>
        <v/>
      </c>
      <c r="C11" s="42">
        <f>SUMIFS(Realizado!$N$5:$N$29,Realizado!$B$5:$B$29,"Jurídico")</f>
        <v/>
      </c>
      <c r="D11" s="42">
        <f>SUMIFS(Planejado!$N$5:$N$29,Planejado!$B$5:$B$29,"TI")</f>
        <v/>
      </c>
      <c r="E11" s="42">
        <f>SUMIFS(Realizado!$N$5:$N$29,Realizado!$B$5:$B$29,"TI")</f>
        <v/>
      </c>
      <c r="F11" s="42">
        <f>B11+D11</f>
        <v/>
      </c>
      <c r="G11" s="42">
        <f>C11+E11</f>
        <v/>
      </c>
      <c r="H11" s="42">
        <f>G11-F11</f>
        <v/>
      </c>
      <c r="I11" s="42">
        <f>SUM($F$5:F11)</f>
        <v/>
      </c>
      <c r="J11" s="42">
        <f>SUM($G$5:G11)</f>
        <v/>
      </c>
    </row>
    <row r="12" ht="20" customHeight="1">
      <c r="A12" s="63" t="inlineStr">
        <is>
          <t>Ago/26</t>
        </is>
      </c>
      <c r="B12" s="49">
        <f>SUMIFS(Planejado!$O$5:$O$29,Planejado!$B$5:$B$29,"Jurídico")</f>
        <v/>
      </c>
      <c r="C12" s="49">
        <f>SUMIFS(Realizado!$O$5:$O$29,Realizado!$B$5:$B$29,"Jurídico")</f>
        <v/>
      </c>
      <c r="D12" s="49">
        <f>SUMIFS(Planejado!$O$5:$O$29,Planejado!$B$5:$B$29,"TI")</f>
        <v/>
      </c>
      <c r="E12" s="49">
        <f>SUMIFS(Realizado!$O$5:$O$29,Realizado!$B$5:$B$29,"TI")</f>
        <v/>
      </c>
      <c r="F12" s="49">
        <f>B12+D12</f>
        <v/>
      </c>
      <c r="G12" s="49">
        <f>C12+E12</f>
        <v/>
      </c>
      <c r="H12" s="49">
        <f>G12-F12</f>
        <v/>
      </c>
      <c r="I12" s="49">
        <f>SUM($F$5:F12)</f>
        <v/>
      </c>
      <c r="J12" s="49">
        <f>SUM($G$5:G12)</f>
        <v/>
      </c>
    </row>
    <row r="13" ht="20" customHeight="1">
      <c r="A13" s="62" t="inlineStr">
        <is>
          <t>Set/26</t>
        </is>
      </c>
      <c r="B13" s="42">
        <f>SUMIFS(Planejado!$P$5:$P$29,Planejado!$B$5:$B$29,"Jurídico")</f>
        <v/>
      </c>
      <c r="C13" s="42">
        <f>SUMIFS(Realizado!$P$5:$P$29,Realizado!$B$5:$B$29,"Jurídico")</f>
        <v/>
      </c>
      <c r="D13" s="42">
        <f>SUMIFS(Planejado!$P$5:$P$29,Planejado!$B$5:$B$29,"TI")</f>
        <v/>
      </c>
      <c r="E13" s="42">
        <f>SUMIFS(Realizado!$P$5:$P$29,Realizado!$B$5:$B$29,"TI")</f>
        <v/>
      </c>
      <c r="F13" s="42">
        <f>B13+D13</f>
        <v/>
      </c>
      <c r="G13" s="42">
        <f>C13+E13</f>
        <v/>
      </c>
      <c r="H13" s="42">
        <f>G13-F13</f>
        <v/>
      </c>
      <c r="I13" s="42">
        <f>SUM($F$5:F13)</f>
        <v/>
      </c>
      <c r="J13" s="42">
        <f>SUM($G$5:G13)</f>
        <v/>
      </c>
    </row>
    <row r="14" ht="20" customHeight="1">
      <c r="A14" s="63" t="inlineStr">
        <is>
          <t>Out/26</t>
        </is>
      </c>
      <c r="B14" s="49">
        <f>SUMIFS(Planejado!$Q$5:$Q$29,Planejado!$B$5:$B$29,"Jurídico")</f>
        <v/>
      </c>
      <c r="C14" s="49">
        <f>SUMIFS(Realizado!$Q$5:$Q$29,Realizado!$B$5:$B$29,"Jurídico")</f>
        <v/>
      </c>
      <c r="D14" s="49">
        <f>SUMIFS(Planejado!$Q$5:$Q$29,Planejado!$B$5:$B$29,"TI")</f>
        <v/>
      </c>
      <c r="E14" s="49">
        <f>SUMIFS(Realizado!$Q$5:$Q$29,Realizado!$B$5:$B$29,"TI")</f>
        <v/>
      </c>
      <c r="F14" s="49">
        <f>B14+D14</f>
        <v/>
      </c>
      <c r="G14" s="49">
        <f>C14+E14</f>
        <v/>
      </c>
      <c r="H14" s="49">
        <f>G14-F14</f>
        <v/>
      </c>
      <c r="I14" s="49">
        <f>SUM($F$5:F14)</f>
        <v/>
      </c>
      <c r="J14" s="49">
        <f>SUM($G$5:G14)</f>
        <v/>
      </c>
    </row>
    <row r="15" ht="20" customHeight="1">
      <c r="A15" s="62" t="inlineStr">
        <is>
          <t>Nov/26</t>
        </is>
      </c>
      <c r="B15" s="42">
        <f>SUMIFS(Planejado!$R$5:$R$29,Planejado!$B$5:$B$29,"Jurídico")</f>
        <v/>
      </c>
      <c r="C15" s="42">
        <f>SUMIFS(Realizado!$R$5:$R$29,Realizado!$B$5:$B$29,"Jurídico")</f>
        <v/>
      </c>
      <c r="D15" s="42">
        <f>SUMIFS(Planejado!$R$5:$R$29,Planejado!$B$5:$B$29,"TI")</f>
        <v/>
      </c>
      <c r="E15" s="42">
        <f>SUMIFS(Realizado!$R$5:$R$29,Realizado!$B$5:$B$29,"TI")</f>
        <v/>
      </c>
      <c r="F15" s="42">
        <f>B15+D15</f>
        <v/>
      </c>
      <c r="G15" s="42">
        <f>C15+E15</f>
        <v/>
      </c>
      <c r="H15" s="42">
        <f>G15-F15</f>
        <v/>
      </c>
      <c r="I15" s="42">
        <f>SUM($F$5:F15)</f>
        <v/>
      </c>
      <c r="J15" s="42">
        <f>SUM($G$5:G15)</f>
        <v/>
      </c>
    </row>
    <row r="16" ht="20" customHeight="1">
      <c r="A16" s="63" t="inlineStr">
        <is>
          <t>Dez/26</t>
        </is>
      </c>
      <c r="B16" s="49">
        <f>SUMIFS(Planejado!$S$5:$S$29,Planejado!$B$5:$B$29,"Jurídico")</f>
        <v/>
      </c>
      <c r="C16" s="49">
        <f>SUMIFS(Realizado!$S$5:$S$29,Realizado!$B$5:$B$29,"Jurídico")</f>
        <v/>
      </c>
      <c r="D16" s="49">
        <f>SUMIFS(Planejado!$S$5:$S$29,Planejado!$B$5:$B$29,"TI")</f>
        <v/>
      </c>
      <c r="E16" s="49">
        <f>SUMIFS(Realizado!$S$5:$S$29,Realizado!$B$5:$B$29,"TI")</f>
        <v/>
      </c>
      <c r="F16" s="49">
        <f>B16+D16</f>
        <v/>
      </c>
      <c r="G16" s="49">
        <f>C16+E16</f>
        <v/>
      </c>
      <c r="H16" s="49">
        <f>G16-F16</f>
        <v/>
      </c>
      <c r="I16" s="49">
        <f>SUM($F$5:F16)</f>
        <v/>
      </c>
      <c r="J16" s="49">
        <f>SUM($G$5:G16)</f>
        <v/>
      </c>
    </row>
    <row r="17">
      <c r="A17" s="16" t="inlineStr">
        <is>
          <t>TOTAL</t>
        </is>
      </c>
      <c r="B17" s="17">
        <f>SUM(B5:B16)</f>
        <v/>
      </c>
      <c r="C17" s="17">
        <f>SUM(C5:C16)</f>
        <v/>
      </c>
      <c r="D17" s="17">
        <f>SUM(D5:D16)</f>
        <v/>
      </c>
      <c r="E17" s="17">
        <f>SUM(E5:E16)</f>
        <v/>
      </c>
      <c r="F17" s="17">
        <f>SUM(F5:F16)</f>
        <v/>
      </c>
      <c r="G17" s="17">
        <f>SUM(G5:G16)</f>
        <v/>
      </c>
      <c r="H17" s="17">
        <f>SUM(H5:H16)</f>
        <v/>
      </c>
      <c r="I17" s="16" t="n"/>
      <c r="J17" s="16" t="n"/>
    </row>
  </sheetData>
  <mergeCells count="2">
    <mergeCell ref="A1:J1"/>
    <mergeCell ref="A2:J2"/>
  </mergeCells>
  <conditionalFormatting sqref="H5:H1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</cols>
  <sheetData>
    <row r="1" ht="30" customHeight="1">
      <c r="A1" s="1" t="inlineStr">
        <is>
          <t>RESUMO POR PLANO DE CONTAS</t>
        </is>
      </c>
    </row>
    <row r="2" ht="18" customHeight="1">
      <c r="A2" s="2" t="inlineStr">
        <is>
          <t>Mesma referência de mês da aba Comparativo (B3). Serve para conversar com o financeiro na linguagem do plano de contas.</t>
        </is>
      </c>
    </row>
    <row r="4" ht="30" customHeight="1">
      <c r="A4" s="7" t="inlineStr">
        <is>
          <t>Plano de Contas</t>
        </is>
      </c>
      <c r="B4" s="7" t="inlineStr">
        <is>
          <t>Jurídico — Plan.</t>
        </is>
      </c>
      <c r="C4" s="7" t="inlineStr">
        <is>
          <t>Jurídico — Real.</t>
        </is>
      </c>
      <c r="D4" s="7" t="inlineStr">
        <is>
          <t>TI — Plan.</t>
        </is>
      </c>
      <c r="E4" s="7" t="inlineStr">
        <is>
          <t>TI — Real.</t>
        </is>
      </c>
      <c r="F4" s="7" t="inlineStr">
        <is>
          <t>Total Planejado acum.</t>
        </is>
      </c>
      <c r="G4" s="7" t="inlineStr">
        <is>
          <t>Total Realizado acum.</t>
        </is>
      </c>
      <c r="H4" s="7" t="inlineStr">
        <is>
          <t>Desvio (R$)</t>
        </is>
      </c>
      <c r="I4" s="7" t="inlineStr">
        <is>
          <t>Desvio (%)</t>
        </is>
      </c>
      <c r="J4" s="7" t="inlineStr">
        <is>
          <t>Orçado do ano</t>
        </is>
      </c>
    </row>
    <row r="5" ht="20" customHeight="1">
      <c r="A5" s="64" t="inlineStr">
        <is>
          <t>Pessoal - CLT</t>
        </is>
      </c>
      <c r="B5" s="42">
        <f>SUMIFS(Comparativo!$I$6:$I$30,Comparativo!$E$6:$E$30,$A5,Comparativo!$B$6:$B$30,"Jurídico")</f>
        <v/>
      </c>
      <c r="C5" s="42">
        <f>SUMIFS(Comparativo!$J$6:$J$30,Comparativo!$E$6:$E$30,$A5,Comparativo!$B$6:$B$30,"Jurídico")</f>
        <v/>
      </c>
      <c r="D5" s="42">
        <f>SUMIFS(Comparativo!$I$6:$I$30,Comparativo!$E$6:$E$30,$A5,Comparativo!$B$6:$B$30,"TI")</f>
        <v/>
      </c>
      <c r="E5" s="42">
        <f>SUMIFS(Comparativo!$J$6:$J$30,Comparativo!$E$6:$E$30,$A5,Comparativo!$B$6:$B$30,"TI")</f>
        <v/>
      </c>
      <c r="F5" s="42">
        <f>B5+D5</f>
        <v/>
      </c>
      <c r="G5" s="42">
        <f>C5+E5</f>
        <v/>
      </c>
      <c r="H5" s="42">
        <f>G5-F5</f>
        <v/>
      </c>
      <c r="I5" s="65">
        <f>IFERROR(H5/F5,"")</f>
        <v/>
      </c>
      <c r="J5" s="42">
        <f>SUMIFS(Planejado!$T$5:$T$29,Planejado!$G$5:$G$29,$A5)</f>
        <v/>
      </c>
    </row>
    <row r="6" ht="20" customHeight="1">
      <c r="A6" s="66" t="inlineStr">
        <is>
          <t>Pessoal - PJ</t>
        </is>
      </c>
      <c r="B6" s="49">
        <f>SUMIFS(Comparativo!$I$6:$I$30,Comparativo!$E$6:$E$30,$A6,Comparativo!$B$6:$B$30,"Jurídico")</f>
        <v/>
      </c>
      <c r="C6" s="49">
        <f>SUMIFS(Comparativo!$J$6:$J$30,Comparativo!$E$6:$E$30,$A6,Comparativo!$B$6:$B$30,"Jurídico")</f>
        <v/>
      </c>
      <c r="D6" s="49">
        <f>SUMIFS(Comparativo!$I$6:$I$30,Comparativo!$E$6:$E$30,$A6,Comparativo!$B$6:$B$30,"TI")</f>
        <v/>
      </c>
      <c r="E6" s="49">
        <f>SUMIFS(Comparativo!$J$6:$J$30,Comparativo!$E$6:$E$30,$A6,Comparativo!$B$6:$B$30,"TI")</f>
        <v/>
      </c>
      <c r="F6" s="49">
        <f>B6+D6</f>
        <v/>
      </c>
      <c r="G6" s="49">
        <f>C6+E6</f>
        <v/>
      </c>
      <c r="H6" s="49">
        <f>G6-F6</f>
        <v/>
      </c>
      <c r="I6" s="67">
        <f>IFERROR(H6/F6,"")</f>
        <v/>
      </c>
      <c r="J6" s="49">
        <f>SUMIFS(Planejado!$T$5:$T$29,Planejado!$G$5:$G$29,$A6)</f>
        <v/>
      </c>
    </row>
    <row r="7" ht="20" customHeight="1">
      <c r="A7" s="64" t="inlineStr">
        <is>
          <t>Licenças de Softwares</t>
        </is>
      </c>
      <c r="B7" s="42">
        <f>SUMIFS(Comparativo!$I$6:$I$30,Comparativo!$E$6:$E$30,$A7,Comparativo!$B$6:$B$30,"Jurídico")</f>
        <v/>
      </c>
      <c r="C7" s="42">
        <f>SUMIFS(Comparativo!$J$6:$J$30,Comparativo!$E$6:$E$30,$A7,Comparativo!$B$6:$B$30,"Jurídico")</f>
        <v/>
      </c>
      <c r="D7" s="42">
        <f>SUMIFS(Comparativo!$I$6:$I$30,Comparativo!$E$6:$E$30,$A7,Comparativo!$B$6:$B$30,"TI")</f>
        <v/>
      </c>
      <c r="E7" s="42">
        <f>SUMIFS(Comparativo!$J$6:$J$30,Comparativo!$E$6:$E$30,$A7,Comparativo!$B$6:$B$30,"TI")</f>
        <v/>
      </c>
      <c r="F7" s="42">
        <f>B7+D7</f>
        <v/>
      </c>
      <c r="G7" s="42">
        <f>C7+E7</f>
        <v/>
      </c>
      <c r="H7" s="42">
        <f>G7-F7</f>
        <v/>
      </c>
      <c r="I7" s="65">
        <f>IFERROR(H7/F7,"")</f>
        <v/>
      </c>
      <c r="J7" s="42">
        <f>SUMIFS(Planejado!$T$5:$T$29,Planejado!$G$5:$G$29,$A7)</f>
        <v/>
      </c>
    </row>
    <row r="8" ht="20" customHeight="1">
      <c r="A8" s="66" t="inlineStr">
        <is>
          <t>Custeio de Treinamento</t>
        </is>
      </c>
      <c r="B8" s="49">
        <f>SUMIFS(Comparativo!$I$6:$I$30,Comparativo!$E$6:$E$30,$A8,Comparativo!$B$6:$B$30,"Jurídico")</f>
        <v/>
      </c>
      <c r="C8" s="49">
        <f>SUMIFS(Comparativo!$J$6:$J$30,Comparativo!$E$6:$E$30,$A8,Comparativo!$B$6:$B$30,"Jurídico")</f>
        <v/>
      </c>
      <c r="D8" s="49">
        <f>SUMIFS(Comparativo!$I$6:$I$30,Comparativo!$E$6:$E$30,$A8,Comparativo!$B$6:$B$30,"TI")</f>
        <v/>
      </c>
      <c r="E8" s="49">
        <f>SUMIFS(Comparativo!$J$6:$J$30,Comparativo!$E$6:$E$30,$A8,Comparativo!$B$6:$B$30,"TI")</f>
        <v/>
      </c>
      <c r="F8" s="49">
        <f>B8+D8</f>
        <v/>
      </c>
      <c r="G8" s="49">
        <f>C8+E8</f>
        <v/>
      </c>
      <c r="H8" s="49">
        <f>G8-F8</f>
        <v/>
      </c>
      <c r="I8" s="67">
        <f>IFERROR(H8/F8,"")</f>
        <v/>
      </c>
      <c r="J8" s="49">
        <f>SUMIFS(Planejado!$T$5:$T$29,Planejado!$G$5:$G$29,$A8)</f>
        <v/>
      </c>
    </row>
    <row r="9" ht="20" customHeight="1">
      <c r="A9" s="64" t="inlineStr">
        <is>
          <t>Prêmios</t>
        </is>
      </c>
      <c r="B9" s="42">
        <f>SUMIFS(Comparativo!$I$6:$I$30,Comparativo!$E$6:$E$30,$A9,Comparativo!$B$6:$B$30,"Jurídico")</f>
        <v/>
      </c>
      <c r="C9" s="42">
        <f>SUMIFS(Comparativo!$J$6:$J$30,Comparativo!$E$6:$E$30,$A9,Comparativo!$B$6:$B$30,"Jurídico")</f>
        <v/>
      </c>
      <c r="D9" s="42">
        <f>SUMIFS(Comparativo!$I$6:$I$30,Comparativo!$E$6:$E$30,$A9,Comparativo!$B$6:$B$30,"TI")</f>
        <v/>
      </c>
      <c r="E9" s="42">
        <f>SUMIFS(Comparativo!$J$6:$J$30,Comparativo!$E$6:$E$30,$A9,Comparativo!$B$6:$B$30,"TI")</f>
        <v/>
      </c>
      <c r="F9" s="42">
        <f>B9+D9</f>
        <v/>
      </c>
      <c r="G9" s="42">
        <f>C9+E9</f>
        <v/>
      </c>
      <c r="H9" s="42">
        <f>G9-F9</f>
        <v/>
      </c>
      <c r="I9" s="65">
        <f>IFERROR(H9/F9,"")</f>
        <v/>
      </c>
      <c r="J9" s="42">
        <f>SUMIFS(Planejado!$T$5:$T$29,Planejado!$G$5:$G$29,$A9)</f>
        <v/>
      </c>
    </row>
    <row r="10" ht="20" customHeight="1">
      <c r="A10" s="66" t="inlineStr">
        <is>
          <t>Equipamentos Eletrônicos Diversos</t>
        </is>
      </c>
      <c r="B10" s="49">
        <f>SUMIFS(Comparativo!$I$6:$I$30,Comparativo!$E$6:$E$30,$A10,Comparativo!$B$6:$B$30,"Jurídico")</f>
        <v/>
      </c>
      <c r="C10" s="49">
        <f>SUMIFS(Comparativo!$J$6:$J$30,Comparativo!$E$6:$E$30,$A10,Comparativo!$B$6:$B$30,"Jurídico")</f>
        <v/>
      </c>
      <c r="D10" s="49">
        <f>SUMIFS(Comparativo!$I$6:$I$30,Comparativo!$E$6:$E$30,$A10,Comparativo!$B$6:$B$30,"TI")</f>
        <v/>
      </c>
      <c r="E10" s="49">
        <f>SUMIFS(Comparativo!$J$6:$J$30,Comparativo!$E$6:$E$30,$A10,Comparativo!$B$6:$B$30,"TI")</f>
        <v/>
      </c>
      <c r="F10" s="49">
        <f>B10+D10</f>
        <v/>
      </c>
      <c r="G10" s="49">
        <f>C10+E10</f>
        <v/>
      </c>
      <c r="H10" s="49">
        <f>G10-F10</f>
        <v/>
      </c>
      <c r="I10" s="67">
        <f>IFERROR(H10/F10,"")</f>
        <v/>
      </c>
      <c r="J10" s="49">
        <f>SUMIFS(Planejado!$T$5:$T$29,Planejado!$G$5:$G$29,$A10)</f>
        <v/>
      </c>
    </row>
    <row r="11" ht="20" customHeight="1">
      <c r="A11" s="64" t="inlineStr">
        <is>
          <t>Móveis e Utensílios</t>
        </is>
      </c>
      <c r="B11" s="42">
        <f>SUMIFS(Comparativo!$I$6:$I$30,Comparativo!$E$6:$E$30,$A11,Comparativo!$B$6:$B$30,"Jurídico")</f>
        <v/>
      </c>
      <c r="C11" s="42">
        <f>SUMIFS(Comparativo!$J$6:$J$30,Comparativo!$E$6:$E$30,$A11,Comparativo!$B$6:$B$30,"Jurídico")</f>
        <v/>
      </c>
      <c r="D11" s="42">
        <f>SUMIFS(Comparativo!$I$6:$I$30,Comparativo!$E$6:$E$30,$A11,Comparativo!$B$6:$B$30,"TI")</f>
        <v/>
      </c>
      <c r="E11" s="42">
        <f>SUMIFS(Comparativo!$J$6:$J$30,Comparativo!$E$6:$E$30,$A11,Comparativo!$B$6:$B$30,"TI")</f>
        <v/>
      </c>
      <c r="F11" s="42">
        <f>B11+D11</f>
        <v/>
      </c>
      <c r="G11" s="42">
        <f>C11+E11</f>
        <v/>
      </c>
      <c r="H11" s="42">
        <f>G11-F11</f>
        <v/>
      </c>
      <c r="I11" s="65">
        <f>IFERROR(H11/F11,"")</f>
        <v/>
      </c>
      <c r="J11" s="42">
        <f>SUMIFS(Planejado!$T$5:$T$29,Planejado!$G$5:$G$29,$A11)</f>
        <v/>
      </c>
    </row>
    <row r="12">
      <c r="A12" s="16" t="inlineStr">
        <is>
          <t>TOTAL</t>
        </is>
      </c>
      <c r="B12" s="17">
        <f>SUM(B5:B11)</f>
        <v/>
      </c>
      <c r="C12" s="17">
        <f>SUM(C5:C11)</f>
        <v/>
      </c>
      <c r="D12" s="17">
        <f>SUM(D5:D11)</f>
        <v/>
      </c>
      <c r="E12" s="17">
        <f>SUM(E5:E11)</f>
        <v/>
      </c>
      <c r="F12" s="17">
        <f>SUM(F5:F11)</f>
        <v/>
      </c>
      <c r="G12" s="17">
        <f>SUM(G5:G11)</f>
        <v/>
      </c>
      <c r="H12" s="17">
        <f>SUM(H5:H11)</f>
        <v/>
      </c>
      <c r="I12" s="18">
        <f>IFERROR(H12/F12,"")</f>
        <v/>
      </c>
      <c r="J12" s="17">
        <f>SUM(J5:J11)</f>
        <v/>
      </c>
    </row>
  </sheetData>
  <mergeCells count="2">
    <mergeCell ref="A1:I1"/>
    <mergeCell ref="A2:I2"/>
  </mergeCells>
  <conditionalFormatting sqref="H5:H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52" customWidth="1" min="4" max="4"/>
    <col width="22" customWidth="1" min="5" max="5"/>
    <col width="14" customWidth="1" min="6" max="6"/>
  </cols>
  <sheetData>
    <row r="1" ht="30" customHeight="1">
      <c r="A1" s="1" t="inlineStr">
        <is>
          <t>PENDÊNCIAS E DECISÕES EM ABERTO</t>
        </is>
      </c>
    </row>
    <row r="2" ht="18" customHeight="1">
      <c r="A2" s="2" t="inlineStr">
        <is>
          <t>Pontos que precisam ser fechados para o comparativo ficar confiável. Atualize a coluna Status conforme forem resolvidos.</t>
        </is>
      </c>
    </row>
    <row r="4" ht="30" customHeight="1">
      <c r="A4" s="7" t="inlineStr">
        <is>
          <t>#</t>
        </is>
      </c>
      <c r="B4" s="7" t="inlineStr">
        <is>
          <t>Tema</t>
        </is>
      </c>
      <c r="C4" s="7" t="inlineStr">
        <is>
          <t>O que está em aberto</t>
        </is>
      </c>
      <c r="D4" s="7" t="inlineStr">
        <is>
          <t>Impacto no comparativo</t>
        </is>
      </c>
      <c r="E4" s="7" t="inlineStr">
        <is>
          <t>Responsável</t>
        </is>
      </c>
      <c r="F4" s="7" t="inlineStr">
        <is>
          <t>Status</t>
        </is>
      </c>
    </row>
    <row r="5" ht="58" customHeight="1">
      <c r="A5" s="68" t="inlineStr">
        <is>
          <t>A</t>
        </is>
      </c>
      <c r="B5" s="69" t="inlineStr">
        <is>
          <t>Geovanna — realizado em base diferente do orçado</t>
        </is>
      </c>
      <c r="C5" s="69" t="inlineStr">
        <is>
          <t>O planejado dela é R$ 4.825,52/mês, que é o CUSTO TOTAL orçado na ficha (salário + encargos de folha + benefícios). O realizado lançado é o SALÁRIO BRUTO, R$ 2.886,91/mês, confirmado sem alteração no ano. São bases diferentes.</t>
        </is>
      </c>
      <c r="D5" s="69" t="inlineStr">
        <is>
          <t>O desvio desta linha (−R$ 1.938,61/mês, −R$ 13.570,24 no acumulado jan–jul) NÃO é economia: é o encargo que falta do lado do realizado. Para fechar, peça ao RH o custo total mensal dela — ou o percentual de encargos da empresa, que dá para calcular a partir do bruto.</t>
        </is>
      </c>
      <c r="E5" s="69" t="inlineStr">
        <is>
          <t>Cristiane + RH</t>
        </is>
      </c>
      <c r="F5" s="70" t="inlineStr">
        <is>
          <t>BASE DIFERENTE</t>
        </is>
      </c>
    </row>
    <row r="6" ht="58" customHeight="1">
      <c r="A6" s="71" t="inlineStr">
        <is>
          <t>B</t>
        </is>
      </c>
      <c r="B6" s="72" t="inlineStr">
        <is>
          <t>Vinicius — custo total A LANÇAR</t>
        </is>
      </c>
      <c r="C6" s="72" t="inlineStr">
        <is>
          <t>Mesmo caso da Geovanna. O planejado é R$ 5.416,525/mês (custo total). Brutos confirmados: R$ 2.570,52 até jul/26 e R$ 3.070,52 a partir de 05/08/26 — o aumento é absorvido pela folga do envelope, que já previa reajuste, então o orçado não muda. O realizado está em branco.</t>
        </is>
      </c>
      <c r="D6" s="72" t="inlineStr">
        <is>
          <t>A folga do orçado NÃO é economia estrutural. Com o bruto de agosto, sobram R$ 2.346,01 para encargos, o que equivale a 76% sobre o bruto — dentro da faixa normal (67% a 80%), então pode sobrar ou estourar. Só o custo total real vai dizer.</t>
        </is>
      </c>
      <c r="E6" s="72" t="inlineStr">
        <is>
          <t>Cristiane + RH</t>
        </is>
      </c>
      <c r="F6" s="70" t="inlineStr">
        <is>
          <t>A LANÇAR</t>
        </is>
      </c>
    </row>
    <row r="7" ht="58" customHeight="1">
      <c r="A7" s="68" t="inlineStr">
        <is>
          <t>C</t>
        </is>
      </c>
      <c r="B7" s="69" t="inlineStr">
        <is>
          <t>Aumento da Thamar em abr/26</t>
        </is>
      </c>
      <c r="C7" s="69" t="inlineStr">
        <is>
          <t>Recebia R$ 4.500/mês de jan a mar, abaixo dos R$ 5.000 orçados. Em abr/26 teve aumento de R$ 1.000 e passou a R$ 5.500, acima do orçado. O planejado foi mantido em R$ 5.000 nos sete meses fechados (para o desvio ficar visível) e revisado para R$ 5.500 de ago a dez.</t>
        </is>
      </c>
      <c r="D7" s="69" t="inlineStr">
        <is>
          <t>No acumulado jan–jul o efeito líquido é de apenas R$ 500 acima do orçado (−R$ 1.500 em jan–mar, +R$ 2.000 em abr–jul), e mais R$ 2.500 previstos até dezembro. Ao contrário do aumento do Vinicius, este estourou o orçado: não havia folga na linha dela.</t>
        </is>
      </c>
      <c r="E7" s="69" t="inlineStr">
        <is>
          <t>Cristiane</t>
        </is>
      </c>
      <c r="F7" s="73" t="inlineStr">
        <is>
          <t>APLICADO</t>
        </is>
      </c>
    </row>
    <row r="8" ht="58" customHeight="1">
      <c r="A8" s="71" t="inlineStr">
        <is>
          <t>D</t>
        </is>
      </c>
      <c r="B8" s="72" t="inlineStr">
        <is>
          <t>Jusbrasil 30% acima do orçado</t>
        </is>
      </c>
      <c r="C8" s="72" t="inlineStr">
        <is>
          <t>Orçado R$ 104,90/mês, realizado R$ 136,00/mês em mai, jun e jul.</t>
        </is>
      </c>
      <c r="D8" s="72" t="inlineStr">
        <is>
          <t>Menor desvio em reais (R$ 31,10/mês), mas o maior em percentual. Vale conferir se houve reajuste contratual ou mudança de plano.</t>
        </is>
      </c>
      <c r="E8" s="72" t="inlineStr">
        <is>
          <t>Cristiane</t>
        </is>
      </c>
      <c r="F8" s="74" t="inlineStr">
        <is>
          <t>EM ABERTO</t>
        </is>
      </c>
    </row>
    <row r="9" ht="58" customHeight="1">
      <c r="A9" s="68" t="inlineStr">
        <is>
          <t>E</t>
        </is>
      </c>
      <c r="B9" s="69" t="inlineStr">
        <is>
          <t>Bonificação de ago/26 do Jurídico</t>
        </is>
      </c>
      <c r="C9" s="69" t="inlineStr">
        <is>
          <t>Estão orçados R$ 10.293,60 em agosto e R$ 12.867,00 em dezembro. O realizado de agosto ainda não foi informado.</t>
        </is>
      </c>
      <c r="D9" s="69" t="inlineStr">
        <is>
          <t>É a maior despesa isolada do Jurídico no segundo semestre.</t>
        </is>
      </c>
      <c r="E9" s="69" t="inlineStr">
        <is>
          <t>Cristiane</t>
        </is>
      </c>
      <c r="F9" s="74" t="inlineStr">
        <is>
          <t>EM ABERTO</t>
        </is>
      </c>
    </row>
    <row r="10" ht="58" customHeight="1">
      <c r="A10" s="71" t="inlineStr">
        <is>
          <t>F</t>
        </is>
      </c>
      <c r="B10" s="72" t="inlineStr">
        <is>
          <t>Jonathan R$ 3.700/mês abaixo do contratado</t>
        </is>
      </c>
      <c r="C10" s="72" t="inlineStr">
        <is>
          <t>Orçado R$ 10.000/mês, realizado R$ 6.300/mês em mai, jun e jul.</t>
        </is>
      </c>
      <c r="D10" s="72" t="inlineStr">
        <is>
          <t>Maior desvio em reais de todo o orçamento: R$ 11.100 em três meses. Se o valor menor for o novo padrão, o planejado de ago a dez deve ser revisado para baixo — sobrariam R$ 18.500 no orçamento do TI.</t>
        </is>
      </c>
      <c r="E10" s="72" t="inlineStr">
        <is>
          <t>Cristiane</t>
        </is>
      </c>
      <c r="F10" s="74" t="inlineStr">
        <is>
          <t>EM ABERTO</t>
        </is>
      </c>
    </row>
    <row r="11" ht="58" customHeight="1">
      <c r="A11" s="68" t="inlineStr">
        <is>
          <t>G</t>
        </is>
      </c>
      <c r="B11" s="69" t="inlineStr">
        <is>
          <t>Elias Benedito zerado nos três meses</t>
        </is>
      </c>
      <c r="C11" s="69" t="inlineStr">
        <is>
          <t>Orçado R$ 1.065/mês como suporte técnico terceirizado, realizado R$ 0 em mai, jun e jul.</t>
        </is>
      </c>
      <c r="D11" s="69" t="inlineStr">
        <is>
          <t>Confirmar se o contrato segue ativo (acionamento sob demanda) ou se foi encerrado. Se encerrado, são R$ 12.780 a liberar no orçamento do ano.</t>
        </is>
      </c>
      <c r="E11" s="69" t="inlineStr">
        <is>
          <t>Cristiane</t>
        </is>
      </c>
      <c r="F11" s="74" t="inlineStr">
        <is>
          <t>EM ABERTO</t>
        </is>
      </c>
    </row>
    <row r="12" ht="58" customHeight="1">
      <c r="A12" s="71" t="inlineStr">
        <is>
          <t>H</t>
        </is>
      </c>
      <c r="B12" s="72" t="inlineStr">
        <is>
          <t>Planejado de jan a abr — CONFERIR</t>
        </is>
      </c>
      <c r="C12" s="72" t="inlineStr">
        <is>
          <t>O 1º quadrimestre foi preenchido replicando os valores mensais conhecidos, porque a ficha original só trazia o grid de mai a dez. Exceções tratadas: Jonathan começa em abr, Thamar a R$ 5.000 (pré-reajuste), Vinicius com bruto de R$ 2.570,52 e Adapta a R$ 1.300 (valor até jun).</t>
        </is>
      </c>
      <c r="D12" s="72" t="inlineStr">
        <is>
          <t>Se algum contrato tinha valor diferente no 1º quadrimestre, ou se houve bonificação nesse período, o planejado de jan a abr precisa ser corrigido antes de comparar com o realizado.</t>
        </is>
      </c>
      <c r="E12" s="72" t="inlineStr">
        <is>
          <t>Cristiane</t>
        </is>
      </c>
      <c r="F12" s="75" t="inlineStr">
        <is>
          <t>CONFERIR</t>
        </is>
      </c>
    </row>
    <row r="13" ht="58" customHeight="1">
      <c r="A13" s="68" t="inlineStr">
        <is>
          <t>I</t>
        </is>
      </c>
      <c r="B13" s="69" t="inlineStr">
        <is>
          <t>Realizado de ago a dez — a lançar no decorrer do ano</t>
        </is>
      </c>
      <c r="C13" s="69" t="inlineStr">
        <is>
          <t>Jan a jul estão lançados. Ago a dez ficam em branco e serão preenchidos conforme os meses fecharem, com a extração do SIENGE.</t>
        </is>
      </c>
      <c r="D13" s="69" t="inlineStr">
        <is>
          <t>Enquanto isso, o mês de referência do Comparativo deve ficar no último mês fechado (hoje Jul/26) — assim o acumulado compara períodos iguais dos dois lados.</t>
        </is>
      </c>
      <c r="E13" s="69" t="inlineStr">
        <is>
          <t>Cristiane</t>
        </is>
      </c>
      <c r="F13" s="76" t="inlineStr">
        <is>
          <t>EM ANDAMENTO</t>
        </is>
      </c>
    </row>
    <row r="14" ht="58" customHeight="1">
      <c r="A14" s="71" t="inlineStr">
        <is>
          <t>M</t>
        </is>
      </c>
      <c r="B14" s="72" t="inlineStr">
        <is>
          <t>Despesas fora do orçamento identificadas no extrato</t>
        </is>
      </c>
      <c r="C14" s="72" t="inlineStr">
        <is>
          <t>O extrato do financeiro traz gastos relevantes sem linha na ficha. Jurídico: Carneiro Rabelo (R$ 107.742) e Cristiane Carneiro Rabelo (R$ 94.825), somando R$ 202.567 em sete meses; mais Tribunal de Justiça (R$ 49.244), Michele de Oliveira (R$ 23.572) e ONR (R$ 22.576). TI: J H Alves / Monitor Remoto (R$ 20.509) e um bloco de telefonia e infraestrutura de cerca de R$ 15.700 (Claro, TIM, Telefônica, Locaweb, Web Mobile, Sabha, Intelbras, VC1, Alfama).</t>
        </is>
      </c>
      <c r="D14" s="72" t="inlineStr">
        <is>
          <t>Só os dois primeiros credores do Jurídico superam o orçamento anual inteiro do departamento. Decidir na reunião quais entram no centro de custo da área — e, para os que entrarem, criar linha no orçamento, senão aparecerão como 'Não orçado' e distorcerão o comparativo.</t>
        </is>
      </c>
      <c r="E14" s="72" t="inlineStr">
        <is>
          <t>Cristiane + Diretoria</t>
        </is>
      </c>
      <c r="F14" s="77" t="inlineStr">
        <is>
          <t>PAUTA REUNIÃO</t>
        </is>
      </c>
    </row>
    <row r="15" ht="58" customHeight="1">
      <c r="A15" s="68" t="inlineStr">
        <is>
          <t>J</t>
        </is>
      </c>
      <c r="B15" s="69" t="inlineStr">
        <is>
          <t>Despesas do TI — A LANÇAR</t>
        </is>
      </c>
      <c r="C15" s="69" t="inlineStr">
        <is>
          <t>As 9 linhas de despesas do TI (peças, backup, Adapta, antivírus, Office, sala de reunião, cursos, app de gravação e bonificação) não têm lançamento em nenhum mês.</t>
        </is>
      </c>
      <c r="D15" s="69" t="inlineStr">
        <is>
          <t>São R$ 89.040 orçados no ano, 35% do orçamento do TI. Sem lançamento, o departamento aparece com desvio negativo que é ausência de dado.</t>
        </is>
      </c>
      <c r="E15" s="69" t="inlineStr">
        <is>
          <t>Cristiane</t>
        </is>
      </c>
      <c r="F15" s="70" t="inlineStr">
        <is>
          <t>A LANÇAR</t>
        </is>
      </c>
    </row>
    <row r="16" ht="58" customHeight="1">
      <c r="A16" s="71" t="inlineStr">
        <is>
          <t>1</t>
        </is>
      </c>
      <c r="B16" s="72" t="inlineStr">
        <is>
          <t>Base de meses — reconciliada com a ficha original</t>
        </is>
      </c>
      <c r="C16" s="72" t="inlineStr">
        <is>
          <t>A ficha trazia a coluna TOTAL do TI digitada à mão em bases diferentes por pessoa (Vinicius e Elias em 12 meses, Jonathan em 9) enquanto o grid mensal tinha só 8 colunas. Com o período em jan–dez os três totais batem exatamente: R$ 64.998,30 + R$ 12.780,00 + R$ 90.000,00 = R$ 167.778,30, o valor da ficha. Não era erro de digitação — era o grid que estava incompleto.</t>
        </is>
      </c>
      <c r="D16" s="72" t="inlineStr">
        <is>
          <t>Equipe de TI no valor original de R$ 167.778,30. Jonathan lançado com entrada em abr/26 (9 meses), que é o que explica os R$ 90.000.</t>
        </is>
      </c>
      <c r="E16" s="72" t="inlineStr">
        <is>
          <t>Cristiane</t>
        </is>
      </c>
      <c r="F16" s="73" t="inlineStr">
        <is>
          <t>RESOLVIDO</t>
        </is>
      </c>
    </row>
    <row r="17" ht="58" customHeight="1">
      <c r="A17" s="68" t="inlineStr">
        <is>
          <t>2</t>
        </is>
      </c>
      <c r="B17" s="69" t="inlineStr">
        <is>
          <t>Origem do valor realizado — DEFINIDA: SIENGE</t>
        </is>
      </c>
      <c r="C17" s="69" t="inlineStr">
        <is>
          <t>Será aberto um centro de custo próprio no SIENGE e todos os valores do realizado serão extraídos de lá. Nada será lançado manualmente. O extrato das abas 'Contas Pagas' já vem nesse formato.</t>
        </is>
      </c>
      <c r="D17" s="69" t="inlineStr">
        <is>
          <t>O realizado passa a bater com a contabilidade por construção, que era o risco principal. Duas coisas a encaminhar: (1) o de-para entre credor do SIENGE e linha do orçamento — a coluna 'Já está no orçamento?' da aba de resumo é o rascunho dele; (2) definir se a extração sai por regime de caixa ou de competência, ver item 7.</t>
        </is>
      </c>
      <c r="E17" s="69" t="inlineStr">
        <is>
          <t>Cristiane + Financeiro</t>
        </is>
      </c>
      <c r="F17" s="73" t="inlineStr">
        <is>
          <t>RESOLVIDO</t>
        </is>
      </c>
    </row>
    <row r="18" ht="58" customHeight="1">
      <c r="A18" s="71" t="inlineStr">
        <is>
          <t>3</t>
        </is>
      </c>
      <c r="B18" s="72" t="inlineStr">
        <is>
          <t>Jusfy x Astrea</t>
        </is>
      </c>
      <c r="C18" s="72" t="inlineStr">
        <is>
          <t>O Astrea NÃO foi cancelado: custa R$ 346,00/mês e segue ativo. O Jusfy está em R$ 0 — ainda não iniciado. A informação anterior de que o Astrea estava zerado foi corrigida pela gestora.</t>
        </is>
      </c>
      <c r="D18" s="72" t="inlineStr">
        <is>
          <t>O Astrea sozinho consome R$ 4.152/ano. Se o Jusfy entrar e o objetivo era substituí-lo, essa é a economia em jogo — e ela é maior do que parecia, porque o custo real do Astrea é 3x o que estava orçado.</t>
        </is>
      </c>
      <c r="E18" s="72" t="inlineStr">
        <is>
          <t>Cristiane</t>
        </is>
      </c>
      <c r="F18" s="74" t="inlineStr">
        <is>
          <t>EM ABERTO</t>
        </is>
      </c>
    </row>
    <row r="19" ht="58" customHeight="1">
      <c r="A19" s="68" t="inlineStr">
        <is>
          <t>K</t>
        </is>
      </c>
      <c r="B19" s="69" t="inlineStr">
        <is>
          <t>ORÇAMENTO VEIO ERRADO — Astrea e Jusbrasil</t>
        </is>
      </c>
      <c r="C19" s="69" t="inlineStr">
        <is>
          <t>Os dois valores já chegaram errados na ficha de orçamento que a gestora recebeu. Astrea: orçado R$ 112,07/mês, custo real R$ 346,00 (3,1x). Jusbrasil: orçado R$ 104,90/mês, custo real R$ 136,00 (1,3x). PAUTA PARA A REUNIÃO COM A DIRETORIA.</t>
        </is>
      </c>
      <c r="D19" s="69" t="inlineStr">
        <is>
          <t>O planejado dessas duas linhas foi mantido como está na ficha, para o erro ficar visível no comparativo. Subdimensionamento de R$ 3.180,36 no ano (R$ 2.807,16 do Astrea + R$ 373,20 do Jusbrasil). Não é estouro de gestão: é erro na origem do orçamento, e precisa de correção formal.</t>
        </is>
      </c>
      <c r="E19" s="69" t="inlineStr">
        <is>
          <t>Cristiane + Diretoria</t>
        </is>
      </c>
      <c r="F19" s="77" t="inlineStr">
        <is>
          <t>PAUTA REUNIÃO</t>
        </is>
      </c>
    </row>
    <row r="20" ht="58" customHeight="1">
      <c r="A20" s="71" t="inlineStr">
        <is>
          <t>L</t>
        </is>
      </c>
      <c r="B20" s="72" t="inlineStr">
        <is>
          <t>Ferramentas de IA sem orçamento — DEFINIR META</t>
        </is>
      </c>
      <c r="C20" s="72" t="inlineStr">
        <is>
          <t>Claude, GPT, Adapta One e Adapta Skip são gastos que existem hoje e não constavam na ficha. Foram criadas quatro linhas separadas, com planejado zerado, para a meta ser definida junto com a diretoria.</t>
        </is>
      </c>
      <c r="D20" s="72" t="inlineStr">
        <is>
          <t>Enquanto o planejado for zero, qualquer lançamento nessas linhas aparece como 'Não orçado'. Conferir também se há sobreposição com a linha 'Inteligência Artificial (Adapta)', já orçada em R$ 17.400/ano — pode ser que ela já cubra o Adapta One e o Adapta Skip. E confirmar o nome exato do 'Adapta Skip'.</t>
        </is>
      </c>
      <c r="E20" s="72" t="inlineStr">
        <is>
          <t>Cristiane + Diretoria</t>
        </is>
      </c>
      <c r="F20" s="77" t="inlineStr">
        <is>
          <t>PAUTA REUNIÃO</t>
        </is>
      </c>
    </row>
    <row r="21" ht="58" customHeight="1">
      <c r="A21" s="68" t="inlineStr">
        <is>
          <t>4</t>
        </is>
      </c>
      <c r="B21" s="69" t="inlineStr">
        <is>
          <t>Rateio dos softwares corporativos de TI</t>
        </is>
      </c>
      <c r="C21" s="69" t="inlineStr">
        <is>
          <t>Backup (R$ 9.900), Adapta/IA (R$ 17.400), Antivírus (R$ 2.880) e Office 365 (R$ 4.500) estão marcados na ficha como 'não sei se seria administrativo'. Total no ano: R$ 34.680.</t>
        </is>
      </c>
      <c r="D21" s="69" t="inlineStr">
        <is>
          <t>São 39% das despesas do TI. Se são da empresa toda e ficam no centro de custo de TI, o departamento carrega despesa que não é dele e aparece caro.</t>
        </is>
      </c>
      <c r="E21" s="69" t="inlineStr">
        <is>
          <t>Cristiane + Controladoria</t>
        </is>
      </c>
      <c r="F21" s="74" t="inlineStr">
        <is>
          <t>EM ABERTO</t>
        </is>
      </c>
    </row>
    <row r="22" ht="58" customHeight="1">
      <c r="A22" s="71" t="inlineStr">
        <is>
          <t>5</t>
        </is>
      </c>
      <c r="B22" s="72" t="inlineStr">
        <is>
          <t>Sala de Reunião — recorrente ou pontual?</t>
        </is>
      </c>
      <c r="C22" s="72" t="inlineStr">
        <is>
          <t>R$ 2.800/mês × 12 = R$ 33.600 diluídos linearmente, classificados em Móveis e Utensílios.</t>
        </is>
      </c>
      <c r="D22" s="72" t="inlineStr">
        <is>
          <t>Se for compra pontual (CAPEX), o desvio mensal vai acusar alarme falso todo mês até a compra acontecer, e um pico no mês da compra.</t>
        </is>
      </c>
      <c r="E22" s="72" t="inlineStr">
        <is>
          <t>Cristiane</t>
        </is>
      </c>
      <c r="F22" s="74" t="inlineStr">
        <is>
          <t>EM ABERTO</t>
        </is>
      </c>
    </row>
    <row r="23" ht="58" customHeight="1">
      <c r="A23" s="68" t="inlineStr">
        <is>
          <t>6</t>
        </is>
      </c>
      <c r="B23" s="69" t="inlineStr">
        <is>
          <t>Office 365 — nº de licenças</t>
        </is>
      </c>
      <c r="C23" s="69" t="inlineStr">
        <is>
          <t>A observação diz '10 licenças de software – 60 usuários'. Os dois números não fecham entre si.</t>
        </is>
      </c>
      <c r="D23" s="69" t="inlineStr">
        <is>
          <t>Afeta o valor orçado da linha e a projeção de crescimento.</t>
        </is>
      </c>
      <c r="E23" s="69" t="inlineStr">
        <is>
          <t>Cristiane</t>
        </is>
      </c>
      <c r="F23" s="74" t="inlineStr">
        <is>
          <t>EM ABERTO</t>
        </is>
      </c>
    </row>
    <row r="24" ht="58" customHeight="1">
      <c r="A24" s="71" t="inlineStr">
        <is>
          <t>7</t>
        </is>
      </c>
      <c r="B24" s="72" t="inlineStr">
        <is>
          <t>Competência x caixa — DEFASAGEM CONFIRMADA</t>
        </is>
      </c>
      <c r="C24" s="72" t="inlineStr">
        <is>
          <t>O pagamento do Miguel de 01/08/26 refere-se a julho, então há pelo menos um prestador cujo pagamento cai no mês seguinte ao da prestação. Todo o realizado está lançado por CAIXA (mês em que o pagamento saiu), que é como os valores foram informados.</t>
        </is>
      </c>
      <c r="D24" s="72" t="inlineStr">
        <is>
          <t>Consequência: o valor lançado em jan/26 pode ser referente a dez/2025, e o serviço de dez/26 só aparecerá em jan/2027 — o ano fecha com 12 pagamentos, mas defasados em relação ao orçamento, que é de competência. Com a extração vindo do SIENGE, basta escolher o regime na hora de gerar o relatório: definir isso UMA vez e manter, para o histórico não misturar critérios.</t>
        </is>
      </c>
      <c r="E24" s="72" t="inlineStr">
        <is>
          <t>Cristiane + Financeiro</t>
        </is>
      </c>
      <c r="F24" s="75" t="inlineStr">
        <is>
          <t>DECIDIR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</cols>
  <sheetData>
    <row r="1" ht="30" customHeight="1">
      <c r="A1" s="1" t="inlineStr">
        <is>
          <t>COMO USAR ESTA PLANILHA</t>
        </is>
      </c>
    </row>
    <row r="2" ht="18" customHeight="1">
      <c r="A2" s="2" t="inlineStr">
        <is>
          <t>Rotina mensal de fechamento em 5 passos.</t>
        </is>
      </c>
    </row>
    <row r="4" ht="22" customHeight="1">
      <c r="A4" s="35" t="inlineStr">
        <is>
          <t>ROTINA MENSAL</t>
        </is>
      </c>
    </row>
    <row r="5" ht="34" customHeight="1">
      <c r="A5" s="78" t="inlineStr">
        <is>
          <t>1</t>
        </is>
      </c>
      <c r="B5" s="79" t="inlineStr">
        <is>
          <t>Extraia do SIENGE o relatório do centro de custo do departamento, no mês que fechou. A fonte do realizado é o SIENGE — nada é digitado de cabeça.</t>
        </is>
      </c>
    </row>
    <row r="6" ht="34" customHeight="1">
      <c r="A6" s="78" t="inlineStr">
        <is>
          <t>2</t>
        </is>
      </c>
      <c r="B6" s="79" t="inlineStr">
        <is>
          <t>Lance na aba REALIZADO, nas células amarelas, o valor de cada linha do orçamento. Item sem gasto no mês: digite 0 — deixar em branco significa 'ainda não lancei'. Use a coluna 'Fonte do dado' para registrar de qual relatório o número saiu, com a data da extração.</t>
        </is>
      </c>
    </row>
    <row r="7" ht="34" customHeight="1">
      <c r="A7" s="78" t="inlineStr">
        <is>
          <t>3</t>
        </is>
      </c>
      <c r="B7" s="79" t="inlineStr">
        <is>
          <t>Vá na aba COMPARATIVO e selecione o mês em B3. Todas as demais abas acompanham essa escolha.</t>
        </is>
      </c>
    </row>
    <row r="8" ht="34" customHeight="1">
      <c r="A8" s="78" t="inlineStr">
        <is>
          <t>4</t>
        </is>
      </c>
      <c r="B8" s="79" t="inlineStr">
        <is>
          <t>Confira o PAINEL: ele mostra o desvio por departamento e os 5 maiores estouros do acumulado. É a tela para levar à diretoria.</t>
        </is>
      </c>
    </row>
    <row r="9" ht="34" customHeight="1">
      <c r="A9" s="78" t="inlineStr">
        <is>
          <t>5</t>
        </is>
      </c>
      <c r="B9" s="79" t="inlineStr">
        <is>
          <t>Atualize a aba PENDÊNCIAS conforme as decisões forem sendo tomadas.</t>
        </is>
      </c>
    </row>
    <row r="10" ht="8" customHeight="1"/>
    <row r="11" ht="22" customHeight="1">
      <c r="A11" s="35" t="inlineStr">
        <is>
          <t>COMO LER OS NÚMEROS</t>
        </is>
      </c>
    </row>
    <row r="12" ht="34" customHeight="1">
      <c r="A12" s="78" t="inlineStr">
        <is>
          <t>Desvio positivo (vermelho)</t>
        </is>
      </c>
      <c r="B12" s="79" t="inlineStr">
        <is>
          <t>Gastou ACIMA do orçado.</t>
        </is>
      </c>
    </row>
    <row r="13" ht="34" customHeight="1">
      <c r="A13" s="78" t="inlineStr">
        <is>
          <t>Desvio negativo (verde)</t>
        </is>
      </c>
      <c r="B13" s="79" t="inlineStr">
        <is>
          <t>Gastou ABAIXO do orçado — economia ou despesa ainda não realizada.</t>
        </is>
      </c>
    </row>
    <row r="14" ht="34" customHeight="1">
      <c r="A14" s="78" t="inlineStr">
        <is>
          <t>Planejado acum.</t>
        </is>
      </c>
      <c r="B14" s="79" t="inlineStr">
        <is>
          <t>Soma de maio até o mês selecionado.</t>
        </is>
      </c>
    </row>
    <row r="15" ht="34" customHeight="1">
      <c r="A15" s="78" t="inlineStr">
        <is>
          <t>% Executado</t>
        </is>
      </c>
      <c r="B15" s="79" t="inlineStr">
        <is>
          <t>Realizado acumulado ÷ Planejado acumulado. Perto de 100% = no ritmo.</t>
        </is>
      </c>
    </row>
    <row r="16" ht="34" customHeight="1">
      <c r="A16" s="78" t="inlineStr">
        <is>
          <t>Sem lançamento</t>
        </is>
      </c>
      <c r="B16" s="79" t="inlineStr">
        <is>
          <t>Nada foi lançado no realizado ainda — não confunda com economia.</t>
        </is>
      </c>
    </row>
    <row r="17" ht="8" customHeight="1"/>
    <row r="18" ht="22" customHeight="1">
      <c r="A18" s="35" t="inlineStr">
        <is>
          <t>REGRAS DA PLANILHA</t>
        </is>
      </c>
    </row>
    <row r="19" ht="34" customHeight="1">
      <c r="A19" s="78" t="inlineStr">
        <is>
          <t>Não altere</t>
        </is>
      </c>
      <c r="B19" s="79" t="inlineStr">
        <is>
          <t>As colunas de identificação da aba Realizado (A a G) são fórmulas que espelham a aba Planejado. Alterar quebra o comparativo.</t>
        </is>
      </c>
    </row>
    <row r="20" ht="34" customHeight="1">
      <c r="A20" s="78" t="inlineStr">
        <is>
          <t>Nova linha de orçamento</t>
        </is>
      </c>
      <c r="B20" s="79" t="inlineStr">
        <is>
          <t>Insira na aba Planejado e replique a mesma linha na aba Realizado e na aba Comparativo, mantendo o mesmo ID.</t>
        </is>
      </c>
    </row>
    <row r="21" ht="34" customHeight="1">
      <c r="A21" s="78" t="inlineStr">
        <is>
          <t>Revisão de orçamento</t>
        </is>
      </c>
      <c r="B21" s="79" t="inlineStr">
        <is>
          <t>Se a diretoria aprovar um valor novo, altere na aba Planejado e registre o motivo na aba Pendências.</t>
        </is>
      </c>
    </row>
  </sheetData>
  <mergeCells count="18">
    <mergeCell ref="B13:C13"/>
    <mergeCell ref="B6:C6"/>
    <mergeCell ref="B21:C21"/>
    <mergeCell ref="B16:C16"/>
    <mergeCell ref="A11:C11"/>
    <mergeCell ref="B15:C15"/>
    <mergeCell ref="B7:C7"/>
    <mergeCell ref="A1:C1"/>
    <mergeCell ref="B5:C5"/>
    <mergeCell ref="B19:C19"/>
    <mergeCell ref="B20:C20"/>
    <mergeCell ref="A18:C18"/>
    <mergeCell ref="B14:C14"/>
    <mergeCell ref="B9:C9"/>
    <mergeCell ref="A4:C4"/>
    <mergeCell ref="B8:C8"/>
    <mergeCell ref="A2:C2"/>
    <mergeCell ref="B12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30" customHeight="1">
      <c r="A1" s="1" t="inlineStr">
        <is>
          <t>CONTAS PAGAS — RESUMO POR CREDOR  (Jurídico e TI)</t>
        </is>
      </c>
    </row>
    <row r="2" ht="18" customHeight="1">
      <c r="A2" s="2" t="inlineStr">
        <is>
          <t>Extrato do financeiro, centro de custo "Jurídico + T.I". ABA DE APOIO: o centro de custo destes itens ainda não foi decidido, então nada aqui entra no Planejado, no Realizado nem no Painel. A coluna final aponta o que provavelmente já está no orçamento — confira e remova as duplicidades à mão.</t>
        </is>
      </c>
    </row>
    <row r="4" ht="30" customHeight="1">
      <c r="A4" s="55" t="inlineStr">
        <is>
          <t>Credor</t>
        </is>
      </c>
      <c r="B4" s="55" t="inlineStr">
        <is>
          <t>Centro de Custo</t>
        </is>
      </c>
      <c r="C4" s="55" t="inlineStr">
        <is>
          <t>Nº lanç.</t>
        </is>
      </c>
      <c r="D4" s="55" t="inlineStr">
        <is>
          <t>Jan/26</t>
        </is>
      </c>
      <c r="E4" s="55" t="inlineStr">
        <is>
          <t>Fev/26</t>
        </is>
      </c>
      <c r="F4" s="55" t="inlineStr">
        <is>
          <t>Mar/26</t>
        </is>
      </c>
      <c r="G4" s="55" t="inlineStr">
        <is>
          <t>Abr/26</t>
        </is>
      </c>
      <c r="H4" s="55" t="inlineStr">
        <is>
          <t>Mai/26</t>
        </is>
      </c>
      <c r="I4" s="55" t="inlineStr">
        <is>
          <t>Jun/26</t>
        </is>
      </c>
      <c r="J4" s="55" t="inlineStr">
        <is>
          <t>Jul/26</t>
        </is>
      </c>
      <c r="K4" s="55" t="inlineStr">
        <is>
          <t>TOTAL</t>
        </is>
      </c>
      <c r="L4" s="55" t="inlineStr">
        <is>
          <t>Já está no orçamento?</t>
        </is>
      </c>
    </row>
    <row r="5" ht="22" customHeight="1">
      <c r="A5" s="64" t="inlineStr">
        <is>
          <t>CARNEIRO RABELO SOCIEDADE INDIVIDUAL DE ADVOCACIA</t>
        </is>
      </c>
      <c r="B5" s="64" t="inlineStr">
        <is>
          <t>Júridico</t>
        </is>
      </c>
      <c r="C5" s="62" t="n">
        <v>7</v>
      </c>
      <c r="D5" s="42" t="n"/>
      <c r="E5" s="42" t="n">
        <v>23257.53</v>
      </c>
      <c r="F5" s="42" t="n">
        <v>13954.52</v>
      </c>
      <c r="G5" s="42" t="n">
        <v>17632.15</v>
      </c>
      <c r="H5" s="42" t="n">
        <v>17632.15</v>
      </c>
      <c r="I5" s="42" t="n">
        <v>17632.15</v>
      </c>
      <c r="J5" s="42" t="n">
        <v>17633.95</v>
      </c>
      <c r="K5" s="80" t="n">
        <v>107742.45</v>
      </c>
      <c r="L5" s="81" t="n"/>
    </row>
    <row r="6" ht="22" customHeight="1">
      <c r="A6" s="64" t="inlineStr">
        <is>
          <t>Cristiane Carneiro Rabelo</t>
        </is>
      </c>
      <c r="B6" s="64" t="inlineStr">
        <is>
          <t>Júridico</t>
        </is>
      </c>
      <c r="C6" s="62" t="n">
        <v>14</v>
      </c>
      <c r="D6" s="42" t="n">
        <v>33708.48</v>
      </c>
      <c r="E6" s="42" t="n">
        <v>16231.62</v>
      </c>
      <c r="F6" s="42" t="n"/>
      <c r="G6" s="42" t="n">
        <v>2774.32</v>
      </c>
      <c r="H6" s="42" t="n"/>
      <c r="I6" s="42" t="n">
        <v>1099.9</v>
      </c>
      <c r="J6" s="42" t="n">
        <v>41010.45</v>
      </c>
      <c r="K6" s="80" t="n">
        <v>94824.76999999999</v>
      </c>
      <c r="L6" s="81" t="n"/>
    </row>
    <row r="7" ht="22" customHeight="1">
      <c r="A7" s="64" t="inlineStr">
        <is>
          <t>SAO PAULO TRIBUNAL DE JUSTICA</t>
        </is>
      </c>
      <c r="B7" s="64" t="inlineStr">
        <is>
          <t>Júridico</t>
        </is>
      </c>
      <c r="C7" s="62" t="n">
        <v>92</v>
      </c>
      <c r="D7" s="42" t="n">
        <v>2757.17</v>
      </c>
      <c r="E7" s="42" t="n">
        <v>7898.220000000001</v>
      </c>
      <c r="F7" s="42" t="n">
        <v>7214.660000000001</v>
      </c>
      <c r="G7" s="42" t="n">
        <v>3968.840000000001</v>
      </c>
      <c r="H7" s="42" t="n">
        <v>11391.74</v>
      </c>
      <c r="I7" s="42" t="n">
        <v>15898.5</v>
      </c>
      <c r="J7" s="42" t="n">
        <v>115.26</v>
      </c>
      <c r="K7" s="80" t="n">
        <v>49244.39000000001</v>
      </c>
      <c r="L7" s="81" t="n"/>
    </row>
    <row r="8" ht="22" customHeight="1">
      <c r="A8" s="82" t="inlineStr">
        <is>
          <t>61.582.518 MIGUEL CLEPF PASSOS</t>
        </is>
      </c>
      <c r="B8" s="82" t="inlineStr">
        <is>
          <t>Júridico</t>
        </is>
      </c>
      <c r="C8" s="83" t="n">
        <v>6</v>
      </c>
      <c r="D8" s="84" t="n"/>
      <c r="E8" s="84" t="n">
        <v>6750</v>
      </c>
      <c r="F8" s="84" t="n">
        <v>6750</v>
      </c>
      <c r="G8" s="84" t="n">
        <v>6750</v>
      </c>
      <c r="H8" s="84" t="n">
        <v>6750</v>
      </c>
      <c r="I8" s="84" t="n">
        <v>6750</v>
      </c>
      <c r="J8" s="84" t="n">
        <v>6750</v>
      </c>
      <c r="K8" s="85" t="n">
        <v>40500</v>
      </c>
      <c r="L8" s="86" t="inlineStr">
        <is>
          <t>JUR-E01 Miguel Clepf</t>
        </is>
      </c>
    </row>
    <row r="9" ht="22" customHeight="1">
      <c r="A9" s="82" t="inlineStr">
        <is>
          <t>GEOVANA CAVALCANTI</t>
        </is>
      </c>
      <c r="B9" s="82" t="inlineStr">
        <is>
          <t>Júridico</t>
        </is>
      </c>
      <c r="C9" s="83" t="n">
        <v>15</v>
      </c>
      <c r="D9" s="84" t="n">
        <v>4036</v>
      </c>
      <c r="E9" s="84" t="n">
        <v>2902</v>
      </c>
      <c r="F9" s="84" t="n">
        <v>5288.25</v>
      </c>
      <c r="G9" s="84" t="n">
        <v>1755</v>
      </c>
      <c r="H9" s="84" t="n">
        <v>2769</v>
      </c>
      <c r="I9" s="84" t="n">
        <v>2977</v>
      </c>
      <c r="J9" s="84" t="n">
        <v>4101</v>
      </c>
      <c r="K9" s="85" t="n">
        <v>23828.25</v>
      </c>
      <c r="L9" s="86" t="inlineStr">
        <is>
          <t>JUR-E02 Geovanna</t>
        </is>
      </c>
    </row>
    <row r="10" ht="22" customHeight="1">
      <c r="A10" s="64" t="inlineStr">
        <is>
          <t>MICHELE DE OLIVEIRA SILVA</t>
        </is>
      </c>
      <c r="B10" s="64" t="inlineStr">
        <is>
          <t>Júridico</t>
        </is>
      </c>
      <c r="C10" s="62" t="n">
        <v>53</v>
      </c>
      <c r="D10" s="42" t="n">
        <v>4326.39</v>
      </c>
      <c r="E10" s="42" t="n">
        <v>4032.87</v>
      </c>
      <c r="F10" s="42" t="n">
        <v>3881.27</v>
      </c>
      <c r="G10" s="42" t="n">
        <v>3739.01</v>
      </c>
      <c r="H10" s="42" t="n">
        <v>3805.07</v>
      </c>
      <c r="I10" s="42" t="n">
        <v>1036.92</v>
      </c>
      <c r="J10" s="42" t="n">
        <v>2750</v>
      </c>
      <c r="K10" s="80" t="n">
        <v>23571.53</v>
      </c>
      <c r="L10" s="81" t="n"/>
    </row>
    <row r="11" ht="22" customHeight="1">
      <c r="A11" s="82" t="inlineStr">
        <is>
          <t>MIGUEL CLEPF PASSOS</t>
        </is>
      </c>
      <c r="B11" s="82" t="inlineStr">
        <is>
          <t>Júridico</t>
        </is>
      </c>
      <c r="C11" s="83" t="n">
        <v>3</v>
      </c>
      <c r="D11" s="84" t="n">
        <v>7906.44</v>
      </c>
      <c r="E11" s="84" t="n">
        <v>156.05</v>
      </c>
      <c r="F11" s="84" t="n"/>
      <c r="G11" s="84" t="n"/>
      <c r="H11" s="84" t="n"/>
      <c r="I11" s="84" t="n"/>
      <c r="J11" s="84" t="n">
        <v>15139.8</v>
      </c>
      <c r="K11" s="85" t="n">
        <v>23202.29</v>
      </c>
      <c r="L11" s="86" t="inlineStr">
        <is>
          <t>JUR-E01 Miguel Clepf</t>
        </is>
      </c>
    </row>
    <row r="12" ht="22" customHeight="1">
      <c r="A12" s="64" t="inlineStr">
        <is>
          <t>OPERADOR NACIONAL DO SISTEMA DE REGISTRO ELETRONICO DE IMOVEIS ( ONR )</t>
        </is>
      </c>
      <c r="B12" s="64" t="inlineStr">
        <is>
          <t>Júridico</t>
        </is>
      </c>
      <c r="C12" s="62" t="n">
        <v>30</v>
      </c>
      <c r="D12" s="42" t="n">
        <v>8762.790000000001</v>
      </c>
      <c r="E12" s="42" t="n">
        <v>1500.45</v>
      </c>
      <c r="F12" s="42" t="n">
        <v>4399.72</v>
      </c>
      <c r="G12" s="42" t="n">
        <v>114.98</v>
      </c>
      <c r="H12" s="42" t="n">
        <v>2536.1</v>
      </c>
      <c r="I12" s="42" t="n">
        <v>5262.349999999999</v>
      </c>
      <c r="J12" s="42" t="n"/>
      <c r="K12" s="80" t="n">
        <v>22576.39</v>
      </c>
      <c r="L12" s="81" t="n"/>
    </row>
    <row r="13" ht="22" customHeight="1">
      <c r="A13" s="64" t="inlineStr">
        <is>
          <t>J H ALVES - MONITOR REMOTO</t>
        </is>
      </c>
      <c r="B13" s="64" t="inlineStr">
        <is>
          <t>T.I</t>
        </is>
      </c>
      <c r="C13" s="62" t="n">
        <v>4</v>
      </c>
      <c r="D13" s="42" t="n">
        <v>4311.56</v>
      </c>
      <c r="E13" s="42" t="n"/>
      <c r="F13" s="42" t="n"/>
      <c r="G13" s="42" t="n"/>
      <c r="H13" s="42" t="n">
        <v>3723.62</v>
      </c>
      <c r="I13" s="42" t="n">
        <v>6173.37</v>
      </c>
      <c r="J13" s="42" t="n">
        <v>6300</v>
      </c>
      <c r="K13" s="80" t="n">
        <v>20508.55</v>
      </c>
      <c r="L13" s="81" t="n"/>
    </row>
    <row r="14" ht="22" customHeight="1">
      <c r="A14" s="82" t="inlineStr">
        <is>
          <t>VINICIUS DI FRANCO HEITOR</t>
        </is>
      </c>
      <c r="B14" s="82" t="inlineStr">
        <is>
          <t>T.I</t>
        </is>
      </c>
      <c r="C14" s="83" t="n">
        <v>23</v>
      </c>
      <c r="D14" s="84" t="n">
        <v>2670.84</v>
      </c>
      <c r="E14" s="84" t="n">
        <v>2986.04</v>
      </c>
      <c r="F14" s="84" t="n">
        <v>2778.04</v>
      </c>
      <c r="G14" s="84" t="n">
        <v>2751.04</v>
      </c>
      <c r="H14" s="84" t="n">
        <v>2719.04</v>
      </c>
      <c r="I14" s="84" t="n">
        <v>3633.16</v>
      </c>
      <c r="J14" s="84" t="n">
        <v>2461.04</v>
      </c>
      <c r="K14" s="85" t="n">
        <v>19999.2</v>
      </c>
      <c r="L14" s="86" t="inlineStr">
        <is>
          <t>TI-E01 Vinicius Di Franco</t>
        </is>
      </c>
    </row>
    <row r="15" ht="22" customHeight="1">
      <c r="A15" s="64" t="inlineStr">
        <is>
          <t>SERASA S.A.</t>
        </is>
      </c>
      <c r="B15" s="64" t="inlineStr">
        <is>
          <t>Júridico</t>
        </is>
      </c>
      <c r="C15" s="62" t="n">
        <v>14</v>
      </c>
      <c r="D15" s="42" t="n">
        <v>1829.77</v>
      </c>
      <c r="E15" s="42" t="n">
        <v>3018.77</v>
      </c>
      <c r="F15" s="42" t="n">
        <v>3010.21</v>
      </c>
      <c r="G15" s="42" t="n">
        <v>11.43</v>
      </c>
      <c r="H15" s="42" t="n">
        <v>11.43</v>
      </c>
      <c r="I15" s="42" t="n">
        <v>11.43</v>
      </c>
      <c r="J15" s="42" t="n">
        <v>2506.74</v>
      </c>
      <c r="K15" s="80" t="n">
        <v>10399.78</v>
      </c>
      <c r="L15" s="81" t="n"/>
    </row>
    <row r="16" ht="22" customHeight="1">
      <c r="A16" s="64" t="inlineStr">
        <is>
          <t>LIMA E BERNARDES SOCIEDADE DE ADVOGADOS</t>
        </is>
      </c>
      <c r="B16" s="64" t="inlineStr">
        <is>
          <t>Júridico</t>
        </is>
      </c>
      <c r="C16" s="62" t="n">
        <v>2</v>
      </c>
      <c r="D16" s="42" t="n">
        <v>3370.84</v>
      </c>
      <c r="E16" s="42" t="n">
        <v>3370.84</v>
      </c>
      <c r="F16" s="42" t="n"/>
      <c r="G16" s="42" t="n"/>
      <c r="H16" s="42" t="n"/>
      <c r="I16" s="42" t="n"/>
      <c r="J16" s="42" t="n"/>
      <c r="K16" s="80" t="n">
        <v>6741.68</v>
      </c>
      <c r="L16" s="81" t="n"/>
    </row>
    <row r="17" ht="22" customHeight="1">
      <c r="A17" s="82" t="inlineStr">
        <is>
          <t>ASTREA SOFTWARE LTDA</t>
        </is>
      </c>
      <c r="B17" s="82" t="inlineStr">
        <is>
          <t>Júridico</t>
        </is>
      </c>
      <c r="C17" s="83" t="n">
        <v>4</v>
      </c>
      <c r="D17" s="84" t="n">
        <v>1346.28</v>
      </c>
      <c r="E17" s="84" t="n">
        <v>5385.12</v>
      </c>
      <c r="F17" s="84" t="n"/>
      <c r="G17" s="84" t="n"/>
      <c r="H17" s="84" t="n"/>
      <c r="I17" s="84" t="n"/>
      <c r="J17" s="84" t="n"/>
      <c r="K17" s="85" t="n">
        <v>6731.4</v>
      </c>
      <c r="L17" s="86" t="inlineStr">
        <is>
          <t>JUR-D03 Astrea</t>
        </is>
      </c>
    </row>
    <row r="18" ht="22" customHeight="1">
      <c r="A18" s="82" t="inlineStr">
        <is>
          <t>LEME INTELIGENCIA FORENSE E CONSULTORIA EMPRESARIAL LTDA</t>
        </is>
      </c>
      <c r="B18" s="82" t="inlineStr">
        <is>
          <t>Júridico</t>
        </is>
      </c>
      <c r="C18" s="83" t="n">
        <v>7</v>
      </c>
      <c r="D18" s="84" t="n"/>
      <c r="E18" s="84" t="n"/>
      <c r="F18" s="84" t="n">
        <v>2738.4</v>
      </c>
      <c r="G18" s="84" t="n">
        <v>720.1</v>
      </c>
      <c r="H18" s="84" t="n">
        <v>970.5700000000001</v>
      </c>
      <c r="I18" s="84" t="n">
        <v>1038.65</v>
      </c>
      <c r="J18" s="84" t="n">
        <v>970.5700000000001</v>
      </c>
      <c r="K18" s="85" t="n">
        <v>6438.289999999999</v>
      </c>
      <c r="L18" s="86" t="inlineStr">
        <is>
          <t>JUR-D04 Leme</t>
        </is>
      </c>
    </row>
    <row r="19" ht="22" customHeight="1">
      <c r="A19" s="82" t="inlineStr">
        <is>
          <t>OPENAI BRAZIL LIMITADA</t>
        </is>
      </c>
      <c r="B19" s="82" t="inlineStr">
        <is>
          <t>T.I</t>
        </is>
      </c>
      <c r="C19" s="83" t="n">
        <v>4</v>
      </c>
      <c r="D19" s="84" t="n"/>
      <c r="E19" s="84" t="n">
        <v>234.46</v>
      </c>
      <c r="F19" s="84" t="n">
        <v>321.76</v>
      </c>
      <c r="G19" s="84" t="n">
        <v>5393.88</v>
      </c>
      <c r="H19" s="84" t="n"/>
      <c r="I19" s="84" t="n"/>
      <c r="J19" s="84" t="n"/>
      <c r="K19" s="85" t="n">
        <v>5950.1</v>
      </c>
      <c r="L19" s="86" t="inlineStr">
        <is>
          <t>TI-D11 GPT</t>
        </is>
      </c>
    </row>
    <row r="20" ht="22" customHeight="1">
      <c r="A20" s="64" t="inlineStr">
        <is>
          <t>CLARO S.A.</t>
        </is>
      </c>
      <c r="B20" s="64" t="inlineStr">
        <is>
          <t>T.I</t>
        </is>
      </c>
      <c r="C20" s="62" t="n">
        <v>19</v>
      </c>
      <c r="D20" s="42" t="n">
        <v>922.1099999999999</v>
      </c>
      <c r="E20" s="42" t="n"/>
      <c r="F20" s="42" t="n">
        <v>899.5799999999999</v>
      </c>
      <c r="G20" s="42" t="n">
        <v>721.9400000000001</v>
      </c>
      <c r="H20" s="42" t="n">
        <v>965.1099999999999</v>
      </c>
      <c r="I20" s="42" t="n">
        <v>740</v>
      </c>
      <c r="J20" s="42" t="n">
        <v>979.4</v>
      </c>
      <c r="K20" s="80" t="n">
        <v>5228.139999999999</v>
      </c>
      <c r="L20" s="81" t="n"/>
    </row>
    <row r="21" ht="22" customHeight="1">
      <c r="A21" s="64" t="inlineStr">
        <is>
          <t>VITOR SOARES REZENDE ARANTES</t>
        </is>
      </c>
      <c r="B21" s="64" t="inlineStr">
        <is>
          <t>Júridico</t>
        </is>
      </c>
      <c r="C21" s="62" t="n">
        <v>1</v>
      </c>
      <c r="D21" s="42" t="n">
        <v>5211</v>
      </c>
      <c r="E21" s="42" t="n"/>
      <c r="F21" s="42" t="n"/>
      <c r="G21" s="42" t="n"/>
      <c r="H21" s="42" t="n"/>
      <c r="I21" s="42" t="n"/>
      <c r="J21" s="42" t="n"/>
      <c r="K21" s="80" t="n">
        <v>5211</v>
      </c>
      <c r="L21" s="81" t="n"/>
    </row>
    <row r="22" ht="22" customHeight="1">
      <c r="A22" s="64" t="inlineStr">
        <is>
          <t>STUDIO 360 TOUR PUBLICIDADE LTDA.</t>
        </is>
      </c>
      <c r="B22" s="64" t="inlineStr">
        <is>
          <t>Júridico</t>
        </is>
      </c>
      <c r="C22" s="62" t="n">
        <v>2</v>
      </c>
      <c r="D22" s="42" t="n"/>
      <c r="E22" s="42" t="n"/>
      <c r="F22" s="42" t="n"/>
      <c r="G22" s="42" t="n"/>
      <c r="H22" s="42" t="n"/>
      <c r="I22" s="42" t="n">
        <v>4041.99</v>
      </c>
      <c r="J22" s="42" t="n"/>
      <c r="K22" s="80" t="n">
        <v>4041.99</v>
      </c>
      <c r="L22" s="81" t="n"/>
    </row>
    <row r="23" ht="22" customHeight="1">
      <c r="A23" s="82" t="inlineStr">
        <is>
          <t>ADAPTA EDUCACAO LTDA</t>
        </is>
      </c>
      <c r="B23" s="82" t="inlineStr">
        <is>
          <t>Júridico</t>
        </is>
      </c>
      <c r="C23" s="83" t="n">
        <v>6</v>
      </c>
      <c r="D23" s="84" t="n">
        <v>575</v>
      </c>
      <c r="E23" s="84" t="n">
        <v>575</v>
      </c>
      <c r="F23" s="84" t="n">
        <v>575</v>
      </c>
      <c r="G23" s="84" t="n">
        <v>575</v>
      </c>
      <c r="H23" s="84" t="n">
        <v>575</v>
      </c>
      <c r="I23" s="84" t="n">
        <v>476</v>
      </c>
      <c r="J23" s="84" t="n"/>
      <c r="K23" s="85" t="n">
        <v>3351</v>
      </c>
      <c r="L23" s="86" t="inlineStr">
        <is>
          <t>TI-D03 / TI-D12 / TI-D13 (Adapta)</t>
        </is>
      </c>
    </row>
    <row r="24" ht="22" customHeight="1">
      <c r="A24" s="64" t="inlineStr">
        <is>
          <t>LOCAWEB SERVICOS DE INTERNET S/A</t>
        </is>
      </c>
      <c r="B24" s="64" t="inlineStr">
        <is>
          <t>T.I</t>
        </is>
      </c>
      <c r="C24" s="62" t="n">
        <v>8</v>
      </c>
      <c r="D24" s="42" t="n">
        <v>924.2800000000001</v>
      </c>
      <c r="E24" s="42" t="n">
        <v>99.25</v>
      </c>
      <c r="F24" s="42" t="n"/>
      <c r="G24" s="42" t="n">
        <v>1046.52</v>
      </c>
      <c r="H24" s="42" t="n">
        <v>74.81</v>
      </c>
      <c r="I24" s="42" t="n"/>
      <c r="J24" s="42" t="n">
        <v>1151.26</v>
      </c>
      <c r="K24" s="80" t="n">
        <v>3296.12</v>
      </c>
      <c r="L24" s="81" t="n"/>
    </row>
    <row r="25" ht="22" customHeight="1">
      <c r="A25" s="64" t="inlineStr">
        <is>
          <t>SABHA INTELIGENCIA EM TECNOLOGIA LTDA</t>
        </is>
      </c>
      <c r="B25" s="64" t="inlineStr">
        <is>
          <t>T.I</t>
        </is>
      </c>
      <c r="C25" s="62" t="n">
        <v>4</v>
      </c>
      <c r="D25" s="42" t="n">
        <v>723.75</v>
      </c>
      <c r="E25" s="42" t="n"/>
      <c r="F25" s="42" t="n"/>
      <c r="G25" s="42" t="n"/>
      <c r="H25" s="42" t="n">
        <v>741.1</v>
      </c>
      <c r="I25" s="42" t="n">
        <v>740.38</v>
      </c>
      <c r="J25" s="42" t="n">
        <v>1037.38</v>
      </c>
      <c r="K25" s="80" t="n">
        <v>3242.61</v>
      </c>
      <c r="L25" s="81" t="n"/>
    </row>
    <row r="26" ht="22" customHeight="1">
      <c r="A26" s="64" t="inlineStr">
        <is>
          <t>CLICKSIGN GESTAO DE DOCUMENTOS S/A</t>
        </is>
      </c>
      <c r="B26" s="64" t="inlineStr">
        <is>
          <t>Júridico</t>
        </is>
      </c>
      <c r="C26" s="62" t="n">
        <v>8</v>
      </c>
      <c r="D26" s="42" t="n">
        <v>569.88</v>
      </c>
      <c r="E26" s="42" t="n">
        <v>389.09</v>
      </c>
      <c r="F26" s="42" t="n">
        <v>470.49</v>
      </c>
      <c r="G26" s="42" t="n">
        <v>445.04</v>
      </c>
      <c r="H26" s="42" t="n">
        <v>443.94</v>
      </c>
      <c r="I26" s="42" t="n">
        <v>439.58</v>
      </c>
      <c r="J26" s="42" t="n">
        <v>421.73</v>
      </c>
      <c r="K26" s="80" t="n">
        <v>3179.75</v>
      </c>
      <c r="L26" s="81" t="n"/>
    </row>
    <row r="27" ht="22" customHeight="1">
      <c r="A27" s="82" t="inlineStr">
        <is>
          <t>Vale Alimentação Vinicius</t>
        </is>
      </c>
      <c r="B27" s="82" t="inlineStr">
        <is>
          <t>T.I</t>
        </is>
      </c>
      <c r="C27" s="83" t="n">
        <v>6</v>
      </c>
      <c r="D27" s="84" t="n"/>
      <c r="E27" s="84" t="n">
        <v>485</v>
      </c>
      <c r="F27" s="84" t="n">
        <v>485</v>
      </c>
      <c r="G27" s="84" t="n">
        <v>485</v>
      </c>
      <c r="H27" s="84" t="n">
        <v>485</v>
      </c>
      <c r="I27" s="84" t="n">
        <v>485</v>
      </c>
      <c r="J27" s="84" t="n">
        <v>485</v>
      </c>
      <c r="K27" s="85" t="n">
        <v>2910</v>
      </c>
      <c r="L27" s="86" t="inlineStr">
        <is>
          <t>TI-E01 Vinicius (benefício)</t>
        </is>
      </c>
    </row>
    <row r="28" ht="22" customHeight="1">
      <c r="A28" s="64" t="inlineStr">
        <is>
          <t>PAULO ROBERTO DE SOUZA 03565732652</t>
        </is>
      </c>
      <c r="B28" s="64" t="inlineStr">
        <is>
          <t>Júridico</t>
        </is>
      </c>
      <c r="C28" s="62" t="n">
        <v>13</v>
      </c>
      <c r="D28" s="42" t="n"/>
      <c r="E28" s="42" t="n">
        <v>310</v>
      </c>
      <c r="F28" s="42" t="n">
        <v>690</v>
      </c>
      <c r="G28" s="42" t="n">
        <v>272.5</v>
      </c>
      <c r="H28" s="42" t="n">
        <v>181</v>
      </c>
      <c r="I28" s="42" t="n">
        <v>730</v>
      </c>
      <c r="J28" s="42" t="n">
        <v>50</v>
      </c>
      <c r="K28" s="80" t="n">
        <v>2233.5</v>
      </c>
      <c r="L28" s="81" t="n"/>
    </row>
    <row r="29" ht="22" customHeight="1">
      <c r="A29" s="82" t="inlineStr">
        <is>
          <t>THAMAR VICTORIA BARBOSA E SOUZA</t>
        </is>
      </c>
      <c r="B29" s="82" t="inlineStr">
        <is>
          <t>Júridico</t>
        </is>
      </c>
      <c r="C29" s="83" t="n">
        <v>2</v>
      </c>
      <c r="D29" s="84" t="n"/>
      <c r="E29" s="84" t="n"/>
      <c r="F29" s="84" t="n"/>
      <c r="G29" s="84" t="n"/>
      <c r="H29" s="84" t="n">
        <v>102.98</v>
      </c>
      <c r="I29" s="84" t="n"/>
      <c r="J29" s="84" t="n">
        <v>2000</v>
      </c>
      <c r="K29" s="85" t="n">
        <v>2102.98</v>
      </c>
      <c r="L29" s="86" t="inlineStr">
        <is>
          <t>JUR-E03 Thamar Victória</t>
        </is>
      </c>
    </row>
    <row r="30" ht="22" customHeight="1">
      <c r="A30" s="64" t="inlineStr">
        <is>
          <t>ORDEM DOS ADVOGADOS DO BRASIL - SECCAO DE SAO PAULO</t>
        </is>
      </c>
      <c r="B30" s="64" t="inlineStr">
        <is>
          <t>Júridico</t>
        </is>
      </c>
      <c r="C30" s="62" t="n">
        <v>2</v>
      </c>
      <c r="D30" s="42" t="n">
        <v>1890</v>
      </c>
      <c r="E30" s="42" t="n"/>
      <c r="F30" s="42" t="n"/>
      <c r="G30" s="42" t="n"/>
      <c r="H30" s="42" t="n"/>
      <c r="I30" s="42" t="n"/>
      <c r="J30" s="42" t="n"/>
      <c r="K30" s="80" t="n">
        <v>1890</v>
      </c>
      <c r="L30" s="81" t="n"/>
    </row>
    <row r="31" ht="22" customHeight="1">
      <c r="A31" s="64" t="inlineStr">
        <is>
          <t>EDITORA E DISTRIBUIDORA EDUCACIONAL S/A</t>
        </is>
      </c>
      <c r="B31" s="64" t="inlineStr">
        <is>
          <t>Júridico</t>
        </is>
      </c>
      <c r="C31" s="62" t="n">
        <v>7</v>
      </c>
      <c r="D31" s="42" t="n">
        <v>199.32</v>
      </c>
      <c r="E31" s="42" t="n">
        <v>219.32</v>
      </c>
      <c r="F31" s="42" t="n">
        <v>219.32</v>
      </c>
      <c r="G31" s="42" t="n">
        <v>219.32</v>
      </c>
      <c r="H31" s="42" t="n">
        <v>224.7</v>
      </c>
      <c r="I31" s="42" t="n">
        <v>224.59</v>
      </c>
      <c r="J31" s="42" t="n">
        <v>199.32</v>
      </c>
      <c r="K31" s="80" t="n">
        <v>1505.89</v>
      </c>
      <c r="L31" s="81" t="n"/>
    </row>
    <row r="32" ht="22" customHeight="1">
      <c r="A32" s="64" t="inlineStr">
        <is>
          <t>OBVIO BRASIL SOFTWARE E SERVICOS LTDA</t>
        </is>
      </c>
      <c r="B32" s="64" t="inlineStr">
        <is>
          <t>Júridico</t>
        </is>
      </c>
      <c r="C32" s="62" t="n">
        <v>2</v>
      </c>
      <c r="D32" s="42" t="n">
        <v>551.95</v>
      </c>
      <c r="E32" s="42" t="n"/>
      <c r="F32" s="42" t="n">
        <v>551.95</v>
      </c>
      <c r="G32" s="42" t="n"/>
      <c r="H32" s="42" t="n"/>
      <c r="I32" s="42" t="n"/>
      <c r="J32" s="42" t="n"/>
      <c r="K32" s="80" t="n">
        <v>1103.9</v>
      </c>
      <c r="L32" s="81" t="n"/>
    </row>
    <row r="33" ht="22" customHeight="1">
      <c r="A33" s="64" t="inlineStr">
        <is>
          <t>GABRIELLA BRANDÃO VALÉRIO</t>
        </is>
      </c>
      <c r="B33" s="64" t="inlineStr">
        <is>
          <t>Júridico</t>
        </is>
      </c>
      <c r="C33" s="62" t="n">
        <v>2</v>
      </c>
      <c r="D33" s="42" t="n"/>
      <c r="E33" s="42" t="n">
        <v>513.22</v>
      </c>
      <c r="F33" s="42" t="n">
        <v>513.22</v>
      </c>
      <c r="G33" s="42" t="n"/>
      <c r="H33" s="42" t="n"/>
      <c r="I33" s="42" t="n"/>
      <c r="J33" s="42" t="n"/>
      <c r="K33" s="80" t="n">
        <v>1026.44</v>
      </c>
      <c r="L33" s="81" t="n"/>
    </row>
    <row r="34" ht="22" customHeight="1">
      <c r="A34" s="64" t="inlineStr">
        <is>
          <t>TIM S A</t>
        </is>
      </c>
      <c r="B34" s="64" t="inlineStr">
        <is>
          <t>T.I</t>
        </is>
      </c>
      <c r="C34" s="62" t="n">
        <v>3</v>
      </c>
      <c r="D34" s="42" t="n">
        <v>331.42</v>
      </c>
      <c r="E34" s="42" t="n">
        <v>338.5</v>
      </c>
      <c r="F34" s="42" t="n">
        <v>284.63</v>
      </c>
      <c r="G34" s="42" t="n"/>
      <c r="H34" s="42" t="n"/>
      <c r="I34" s="42" t="n"/>
      <c r="J34" s="42" t="n"/>
      <c r="K34" s="80" t="n">
        <v>954.5500000000001</v>
      </c>
      <c r="L34" s="81" t="n"/>
    </row>
    <row r="35" ht="22" customHeight="1">
      <c r="A35" s="64" t="inlineStr">
        <is>
          <t>TRIBUNAL DA JUSTICA DO ESTADO DE MINAS GERAIS</t>
        </is>
      </c>
      <c r="B35" s="64" t="inlineStr">
        <is>
          <t>Júridico</t>
        </is>
      </c>
      <c r="C35" s="62" t="n">
        <v>1</v>
      </c>
      <c r="D35" s="42" t="n"/>
      <c r="E35" s="42" t="n"/>
      <c r="F35" s="42" t="n"/>
      <c r="G35" s="42" t="n">
        <v>880.22</v>
      </c>
      <c r="H35" s="42" t="n"/>
      <c r="I35" s="42" t="n"/>
      <c r="J35" s="42" t="n"/>
      <c r="K35" s="80" t="n">
        <v>880.22</v>
      </c>
      <c r="L35" s="81" t="n"/>
    </row>
    <row r="36" ht="22" customHeight="1">
      <c r="A36" s="64" t="inlineStr">
        <is>
          <t>CAIXA ECONOMICA FEDERAL</t>
        </is>
      </c>
      <c r="B36" s="64" t="inlineStr">
        <is>
          <t>Júridico</t>
        </is>
      </c>
      <c r="C36" s="62" t="n">
        <v>1</v>
      </c>
      <c r="D36" s="42" t="n"/>
      <c r="E36" s="42" t="n"/>
      <c r="F36" s="42" t="n"/>
      <c r="G36" s="42" t="n"/>
      <c r="H36" s="42" t="n"/>
      <c r="I36" s="42" t="n">
        <v>867.88</v>
      </c>
      <c r="J36" s="42" t="n"/>
      <c r="K36" s="80" t="n">
        <v>867.88</v>
      </c>
      <c r="L36" s="81" t="n"/>
    </row>
    <row r="37" ht="22" customHeight="1">
      <c r="A37" s="64" t="inlineStr">
        <is>
          <t>VC1 SOLUCOES EM TECNOLOGIA EIRELI</t>
        </is>
      </c>
      <c r="B37" s="64" t="inlineStr">
        <is>
          <t>T.I</t>
        </is>
      </c>
      <c r="C37" s="62" t="n">
        <v>6</v>
      </c>
      <c r="D37" s="42" t="n"/>
      <c r="E37" s="42" t="n">
        <v>275.84</v>
      </c>
      <c r="F37" s="42" t="n">
        <v>137.9</v>
      </c>
      <c r="G37" s="42" t="n">
        <v>137.9</v>
      </c>
      <c r="H37" s="42" t="n">
        <v>137.92</v>
      </c>
      <c r="I37" s="42" t="n">
        <v>137.93</v>
      </c>
      <c r="J37" s="42" t="n"/>
      <c r="K37" s="80" t="n">
        <v>827.49</v>
      </c>
      <c r="L37" s="81" t="n"/>
    </row>
    <row r="38" ht="22" customHeight="1">
      <c r="A38" s="64" t="inlineStr">
        <is>
          <t>TELEFONICA BRASIL S.A.</t>
        </is>
      </c>
      <c r="B38" s="64" t="inlineStr">
        <is>
          <t>T.I</t>
        </is>
      </c>
      <c r="C38" s="62" t="n">
        <v>7</v>
      </c>
      <c r="D38" s="42" t="n">
        <v>51.63</v>
      </c>
      <c r="E38" s="42" t="n">
        <v>102.32</v>
      </c>
      <c r="F38" s="42" t="n">
        <v>50</v>
      </c>
      <c r="G38" s="42" t="n"/>
      <c r="H38" s="42" t="n"/>
      <c r="I38" s="42" t="n">
        <v>554.58</v>
      </c>
      <c r="J38" s="42" t="n"/>
      <c r="K38" s="80" t="n">
        <v>758.53</v>
      </c>
      <c r="L38" s="81" t="n"/>
    </row>
    <row r="39" ht="22" customHeight="1">
      <c r="A39" s="64" t="inlineStr">
        <is>
          <t>TAUBATE CARTORIO DE REGISTRO CIVIL E TABELIONATO DE QUIRIRIM</t>
        </is>
      </c>
      <c r="B39" s="64" t="inlineStr">
        <is>
          <t>Júridico</t>
        </is>
      </c>
      <c r="C39" s="62" t="n">
        <v>7</v>
      </c>
      <c r="D39" s="42" t="n">
        <v>9.18</v>
      </c>
      <c r="E39" s="42" t="n">
        <v>23.58</v>
      </c>
      <c r="F39" s="42" t="n">
        <v>239.93</v>
      </c>
      <c r="G39" s="42" t="n">
        <v>418.14</v>
      </c>
      <c r="H39" s="42" t="n">
        <v>47.41</v>
      </c>
      <c r="I39" s="42" t="n">
        <v>9.18</v>
      </c>
      <c r="J39" s="42" t="n"/>
      <c r="K39" s="80" t="n">
        <v>747.4199999999998</v>
      </c>
      <c r="L39" s="81" t="n"/>
    </row>
    <row r="40" ht="22" customHeight="1">
      <c r="A40" s="64" t="inlineStr">
        <is>
          <t>TRIBUNAL REGIONAL DO TRABALHO DA 15A. REGIAO</t>
        </is>
      </c>
      <c r="B40" s="64" t="inlineStr">
        <is>
          <t>Júridico</t>
        </is>
      </c>
      <c r="C40" s="62" t="n">
        <v>1</v>
      </c>
      <c r="D40" s="42" t="n"/>
      <c r="E40" s="42" t="n"/>
      <c r="F40" s="42" t="n"/>
      <c r="G40" s="42" t="n"/>
      <c r="H40" s="42" t="n"/>
      <c r="I40" s="42" t="n"/>
      <c r="J40" s="42" t="n">
        <v>700</v>
      </c>
      <c r="K40" s="80" t="n">
        <v>700</v>
      </c>
      <c r="L40" s="81" t="n"/>
    </row>
    <row r="41" ht="22" customHeight="1">
      <c r="A41" s="64" t="inlineStr">
        <is>
          <t>WEB MOBILE TELECOM LTDA</t>
        </is>
      </c>
      <c r="B41" s="64" t="inlineStr">
        <is>
          <t>T.I</t>
        </is>
      </c>
      <c r="C41" s="62" t="n">
        <v>8</v>
      </c>
      <c r="D41" s="42" t="n">
        <v>82.5</v>
      </c>
      <c r="E41" s="42" t="n">
        <v>75</v>
      </c>
      <c r="F41" s="42" t="n">
        <v>225</v>
      </c>
      <c r="G41" s="42" t="n">
        <v>75</v>
      </c>
      <c r="H41" s="42" t="n">
        <v>75</v>
      </c>
      <c r="I41" s="42" t="n">
        <v>75</v>
      </c>
      <c r="J41" s="42" t="n">
        <v>82.5</v>
      </c>
      <c r="K41" s="80" t="n">
        <v>690</v>
      </c>
      <c r="L41" s="81" t="n"/>
    </row>
    <row r="42" ht="22" customHeight="1">
      <c r="A42" s="64" t="inlineStr">
        <is>
          <t>INTELBRAS S.A. INDUSTRIA DE TELECOMUNICACAO ELETRONICA BRASILEIRA</t>
        </is>
      </c>
      <c r="B42" s="64" t="inlineStr">
        <is>
          <t>T.I</t>
        </is>
      </c>
      <c r="C42" s="62" t="n">
        <v>7</v>
      </c>
      <c r="D42" s="42" t="n">
        <v>79.59999999999999</v>
      </c>
      <c r="E42" s="42" t="n"/>
      <c r="F42" s="42" t="n">
        <v>159.2</v>
      </c>
      <c r="G42" s="42" t="n">
        <v>79.59999999999999</v>
      </c>
      <c r="H42" s="42" t="n"/>
      <c r="I42" s="42" t="n">
        <v>164.42</v>
      </c>
      <c r="J42" s="42" t="n">
        <v>79.59999999999999</v>
      </c>
      <c r="K42" s="80" t="n">
        <v>562.42</v>
      </c>
      <c r="L42" s="81" t="n"/>
    </row>
    <row r="43" ht="22" customHeight="1">
      <c r="A43" s="64" t="inlineStr">
        <is>
          <t>GOSHME SOLUCOES PARA A INTERNET LTDA</t>
        </is>
      </c>
      <c r="B43" s="64" t="inlineStr">
        <is>
          <t>Júridico</t>
        </is>
      </c>
      <c r="C43" s="62" t="n">
        <v>3</v>
      </c>
      <c r="D43" s="42" t="n">
        <v>136.4</v>
      </c>
      <c r="E43" s="42" t="n"/>
      <c r="F43" s="42" t="n">
        <v>136.4</v>
      </c>
      <c r="G43" s="42" t="n">
        <v>136.4</v>
      </c>
      <c r="H43" s="42" t="n"/>
      <c r="I43" s="42" t="n"/>
      <c r="J43" s="42" t="n"/>
      <c r="K43" s="80" t="n">
        <v>409.2</v>
      </c>
      <c r="L43" s="81" t="n"/>
    </row>
    <row r="44" ht="22" customHeight="1">
      <c r="A44" s="64" t="inlineStr">
        <is>
          <t>EMPRESA BRASILEIRA DE CORREIOS E TELEGRAFOS</t>
        </is>
      </c>
      <c r="B44" s="64" t="inlineStr">
        <is>
          <t>Júridico</t>
        </is>
      </c>
      <c r="C44" s="62" t="n">
        <v>3</v>
      </c>
      <c r="D44" s="42" t="n"/>
      <c r="E44" s="42" t="n"/>
      <c r="F44" s="42" t="n"/>
      <c r="G44" s="42" t="n"/>
      <c r="H44" s="42" t="n">
        <v>265</v>
      </c>
      <c r="I44" s="42" t="n">
        <v>82.34999999999999</v>
      </c>
      <c r="J44" s="42" t="n"/>
      <c r="K44" s="80" t="n">
        <v>347.35</v>
      </c>
      <c r="L44" s="81" t="n"/>
    </row>
    <row r="45" ht="22" customHeight="1">
      <c r="A45" s="64" t="inlineStr">
        <is>
          <t>JUNTA COMERCIAL DO ESTADO DE SAO PAULO</t>
        </is>
      </c>
      <c r="B45" s="64" t="inlineStr">
        <is>
          <t>Júridico</t>
        </is>
      </c>
      <c r="C45" s="62" t="n">
        <v>2</v>
      </c>
      <c r="D45" s="42" t="n"/>
      <c r="E45" s="42" t="n">
        <v>73</v>
      </c>
      <c r="F45" s="42" t="n">
        <v>273.55</v>
      </c>
      <c r="G45" s="42" t="n"/>
      <c r="H45" s="42" t="n"/>
      <c r="I45" s="42" t="n"/>
      <c r="J45" s="42" t="n"/>
      <c r="K45" s="80" t="n">
        <v>346.55</v>
      </c>
      <c r="L45" s="81" t="n"/>
    </row>
    <row r="46" ht="22" customHeight="1">
      <c r="A46" s="64" t="inlineStr">
        <is>
          <t>MINISTERIO DA JUSTICA E SEGURANCA PUBLICA</t>
        </is>
      </c>
      <c r="B46" s="64" t="inlineStr">
        <is>
          <t>Júridico</t>
        </is>
      </c>
      <c r="C46" s="62" t="n">
        <v>2</v>
      </c>
      <c r="D46" s="42" t="n"/>
      <c r="E46" s="42" t="n"/>
      <c r="F46" s="42" t="n"/>
      <c r="G46" s="42" t="n"/>
      <c r="H46" s="42" t="n">
        <v>260.3</v>
      </c>
      <c r="I46" s="42" t="n"/>
      <c r="J46" s="42" t="n"/>
      <c r="K46" s="80" t="n">
        <v>260.3</v>
      </c>
      <c r="L46" s="81" t="n"/>
    </row>
    <row r="47" ht="22" customHeight="1">
      <c r="A47" s="64" t="inlineStr">
        <is>
          <t>Secretaria de Fazenda Federal</t>
        </is>
      </c>
      <c r="B47" s="64" t="inlineStr">
        <is>
          <t>Júridico</t>
        </is>
      </c>
      <c r="C47" s="62" t="n">
        <v>2</v>
      </c>
      <c r="D47" s="42" t="n"/>
      <c r="E47" s="42" t="n"/>
      <c r="F47" s="42" t="n"/>
      <c r="G47" s="42" t="n">
        <v>210.3</v>
      </c>
      <c r="H47" s="42" t="n"/>
      <c r="I47" s="42" t="n"/>
      <c r="J47" s="42" t="n"/>
      <c r="K47" s="80" t="n">
        <v>210.3</v>
      </c>
      <c r="L47" s="81" t="n"/>
    </row>
    <row r="48" ht="22" customHeight="1">
      <c r="A48" s="64" t="inlineStr">
        <is>
          <t>ALFAMA PROCESSAMENTO DE DADOS LTDA</t>
        </is>
      </c>
      <c r="B48" s="64" t="inlineStr">
        <is>
          <t>T.I</t>
        </is>
      </c>
      <c r="C48" s="62" t="n">
        <v>1</v>
      </c>
      <c r="D48" s="42" t="n"/>
      <c r="E48" s="42" t="n"/>
      <c r="F48" s="42" t="n"/>
      <c r="G48" s="42" t="n"/>
      <c r="H48" s="42" t="n"/>
      <c r="I48" s="42" t="n">
        <v>183.6</v>
      </c>
      <c r="J48" s="42" t="n"/>
      <c r="K48" s="80" t="n">
        <v>183.6</v>
      </c>
      <c r="L48" s="81" t="n"/>
    </row>
    <row r="49" ht="22" customHeight="1">
      <c r="A49" s="64" t="inlineStr">
        <is>
          <t>MUTUA DE ASSISTENCIA DOS PROFISSIO DA ENG ARQ AGRONOMIA</t>
        </is>
      </c>
      <c r="B49" s="64" t="inlineStr">
        <is>
          <t>Júridico</t>
        </is>
      </c>
      <c r="C49" s="62" t="n">
        <v>1</v>
      </c>
      <c r="D49" s="42" t="n">
        <v>170</v>
      </c>
      <c r="E49" s="42" t="n"/>
      <c r="F49" s="42" t="n"/>
      <c r="G49" s="42" t="n"/>
      <c r="H49" s="42" t="n"/>
      <c r="I49" s="42" t="n"/>
      <c r="J49" s="42" t="n"/>
      <c r="K49" s="80" t="n">
        <v>170</v>
      </c>
      <c r="L49" s="81" t="n"/>
    </row>
    <row r="50" ht="22" customHeight="1">
      <c r="A50" s="64" t="inlineStr">
        <is>
          <t>CARTÓRIO DE IMÓVEIS DE JACAREI</t>
        </is>
      </c>
      <c r="B50" s="64" t="inlineStr">
        <is>
          <t>Júridico</t>
        </is>
      </c>
      <c r="C50" s="62" t="n">
        <v>1</v>
      </c>
      <c r="D50" s="42" t="n"/>
      <c r="E50" s="42" t="n"/>
      <c r="F50" s="42" t="n"/>
      <c r="G50" s="42" t="n"/>
      <c r="H50" s="42" t="n"/>
      <c r="I50" s="42" t="n">
        <v>81.56</v>
      </c>
      <c r="J50" s="42" t="n"/>
      <c r="K50" s="80" t="n">
        <v>81.56</v>
      </c>
      <c r="L50" s="81" t="n"/>
    </row>
    <row r="51" ht="22" customHeight="1">
      <c r="A51" s="64" t="inlineStr">
        <is>
          <t>INSTITUTO DE ESTUDOS DE PROTESTO DE TITULOS</t>
        </is>
      </c>
      <c r="B51" s="64" t="inlineStr">
        <is>
          <t>Júridico</t>
        </is>
      </c>
      <c r="C51" s="62" t="n">
        <v>2</v>
      </c>
      <c r="D51" s="42" t="n"/>
      <c r="E51" s="42" t="n"/>
      <c r="F51" s="42" t="n"/>
      <c r="G51" s="42" t="n"/>
      <c r="H51" s="42" t="n">
        <v>58.98</v>
      </c>
      <c r="I51" s="42" t="n">
        <v>19.66</v>
      </c>
      <c r="J51" s="42" t="n"/>
      <c r="K51" s="80" t="n">
        <v>78.64</v>
      </c>
      <c r="L51" s="81" t="n"/>
    </row>
    <row r="52" ht="22" customHeight="1">
      <c r="A52" s="64" t="inlineStr">
        <is>
          <t>ADRIELE DAS GRAÇAS CASTELAR</t>
        </is>
      </c>
      <c r="B52" s="64" t="inlineStr">
        <is>
          <t>Júridico</t>
        </is>
      </c>
      <c r="C52" s="62" t="n">
        <v>1</v>
      </c>
      <c r="D52" s="42" t="n"/>
      <c r="E52" s="42" t="n"/>
      <c r="F52" s="42" t="n"/>
      <c r="G52" s="42" t="n"/>
      <c r="H52" s="42" t="n"/>
      <c r="I52" s="42" t="n">
        <v>30.83</v>
      </c>
      <c r="J52" s="42" t="n"/>
      <c r="K52" s="80" t="n">
        <v>30.83</v>
      </c>
      <c r="L52" s="81" t="n"/>
    </row>
    <row r="53">
      <c r="A53" s="60" t="inlineStr">
        <is>
          <t>TOTAL</t>
        </is>
      </c>
      <c r="B53" s="60" t="n"/>
      <c r="C53" s="60" t="n"/>
      <c r="D53" s="61">
        <f>SUM(D5:D52)</f>
        <v/>
      </c>
      <c r="E53" s="61">
        <f>SUM(E5:E52)</f>
        <v/>
      </c>
      <c r="F53" s="61">
        <f>SUM(F5:F52)</f>
        <v/>
      </c>
      <c r="G53" s="61">
        <f>SUM(G5:G52)</f>
        <v/>
      </c>
      <c r="H53" s="61">
        <f>SUM(H5:H52)</f>
        <v/>
      </c>
      <c r="I53" s="61">
        <f>SUM(I5:I52)</f>
        <v/>
      </c>
      <c r="J53" s="61">
        <f>SUM(J5:J52)</f>
        <v/>
      </c>
      <c r="K53" s="61">
        <f>SUM(K5:K52)</f>
        <v/>
      </c>
      <c r="L53" s="60" t="n"/>
    </row>
  </sheetData>
  <autoFilter ref="A4:L52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6" customWidth="1" min="3" max="3"/>
    <col width="26" customWidth="1" min="4" max="4"/>
    <col width="14" customWidth="1" min="5" max="5"/>
    <col width="18" customWidth="1" min="6" max="6"/>
    <col width="14" customWidth="1" min="7" max="7"/>
    <col width="15" customWidth="1" min="8" max="8"/>
  </cols>
  <sheetData>
    <row r="1" ht="30" customHeight="1">
      <c r="A1" s="1" t="inlineStr">
        <is>
          <t>CONTAS PAGAS — DETALHE  (Jurídico e TI)</t>
        </is>
      </c>
    </row>
    <row r="2" ht="18" customHeight="1">
      <c r="A2" s="2" t="inlineStr">
        <is>
          <t>Um lançamento por linha, como veio do financeiro. Use o filtro do cabeçalho para conferir credor, empreendimento ou mês.</t>
        </is>
      </c>
    </row>
    <row r="4" ht="30" customHeight="1">
      <c r="A4" s="55" t="inlineStr">
        <is>
          <t>Mês</t>
        </is>
      </c>
      <c r="B4" s="55" t="inlineStr">
        <is>
          <t>Data de Pagamento</t>
        </is>
      </c>
      <c r="C4" s="55" t="inlineStr">
        <is>
          <t>Credor</t>
        </is>
      </c>
      <c r="D4" s="55" t="inlineStr">
        <is>
          <t>Documento</t>
        </is>
      </c>
      <c r="E4" s="55" t="inlineStr">
        <is>
          <t>Título</t>
        </is>
      </c>
      <c r="F4" s="55" t="inlineStr">
        <is>
          <t>Empreendimento</t>
        </is>
      </c>
      <c r="G4" s="55" t="inlineStr">
        <is>
          <t>Centro de Custo</t>
        </is>
      </c>
      <c r="H4" s="55" t="inlineStr">
        <is>
          <t>Valor Líquido</t>
        </is>
      </c>
    </row>
    <row r="5">
      <c r="A5" s="87" t="inlineStr">
        <is>
          <t>Jan/26</t>
        </is>
      </c>
      <c r="B5" s="87" t="inlineStr">
        <is>
          <t>15/01/2026</t>
        </is>
      </c>
      <c r="C5" s="87" t="inlineStr">
        <is>
          <t>ADAPTA EDUCACAO LTDA</t>
        </is>
      </c>
      <c r="D5" s="87" t="inlineStr">
        <is>
          <t>AV.4134643529</t>
        </is>
      </c>
      <c r="E5" s="87" t="inlineStr">
        <is>
          <t>89562/3</t>
        </is>
      </c>
      <c r="F5" s="87" t="inlineStr">
        <is>
          <t>Tetus</t>
        </is>
      </c>
      <c r="G5" s="87" t="inlineStr">
        <is>
          <t>Júridico</t>
        </is>
      </c>
      <c r="H5" s="88" t="n">
        <v>575</v>
      </c>
    </row>
    <row r="6">
      <c r="A6" s="87" t="inlineStr">
        <is>
          <t>Jan/26</t>
        </is>
      </c>
      <c r="B6" s="87" t="inlineStr">
        <is>
          <t>05/01/2026</t>
        </is>
      </c>
      <c r="C6" s="87" t="inlineStr">
        <is>
          <t>ASTREA SOFTWARE LTDA</t>
        </is>
      </c>
      <c r="D6" s="87" t="inlineStr">
        <is>
          <t>AV.AV/Mens_1225</t>
        </is>
      </c>
      <c r="E6" s="87" t="inlineStr">
        <is>
          <t>96328/1</t>
        </is>
      </c>
      <c r="F6" s="87" t="inlineStr">
        <is>
          <t>Tetus</t>
        </is>
      </c>
      <c r="G6" s="87" t="inlineStr">
        <is>
          <t>Júridico</t>
        </is>
      </c>
      <c r="H6" s="88" t="n">
        <v>1346.28</v>
      </c>
    </row>
    <row r="7">
      <c r="A7" s="87" t="inlineStr">
        <is>
          <t>Jan/26</t>
        </is>
      </c>
      <c r="B7" s="87" t="inlineStr">
        <is>
          <t>09/01/2026</t>
        </is>
      </c>
      <c r="C7" s="87" t="inlineStr">
        <is>
          <t>CLARO S.A.</t>
        </is>
      </c>
      <c r="D7" s="87" t="inlineStr">
        <is>
          <t>FAT.11.25</t>
        </is>
      </c>
      <c r="E7" s="87" t="inlineStr">
        <is>
          <t>95941/1</t>
        </is>
      </c>
      <c r="F7" s="87" t="inlineStr">
        <is>
          <t>Tetus</t>
        </is>
      </c>
      <c r="G7" s="87" t="inlineStr">
        <is>
          <t>T.I</t>
        </is>
      </c>
      <c r="H7" s="88" t="n">
        <v>407.4</v>
      </c>
    </row>
    <row r="8">
      <c r="A8" s="87" t="inlineStr">
        <is>
          <t>Jan/26</t>
        </is>
      </c>
      <c r="B8" s="87" t="inlineStr">
        <is>
          <t>28/01/2026</t>
        </is>
      </c>
      <c r="C8" s="87" t="inlineStr">
        <is>
          <t>CLARO S.A.</t>
        </is>
      </c>
      <c r="D8" s="87" t="inlineStr">
        <is>
          <t>FAT.01.26</t>
        </is>
      </c>
      <c r="E8" s="87" t="inlineStr">
        <is>
          <t>97478/1</t>
        </is>
      </c>
      <c r="F8" s="87" t="inlineStr">
        <is>
          <t>Tetus</t>
        </is>
      </c>
      <c r="G8" s="87" t="inlineStr">
        <is>
          <t>T.I</t>
        </is>
      </c>
      <c r="H8" s="88" t="n">
        <v>390.95</v>
      </c>
    </row>
    <row r="9">
      <c r="A9" s="87" t="inlineStr">
        <is>
          <t>Jan/26</t>
        </is>
      </c>
      <c r="B9" s="87" t="inlineStr">
        <is>
          <t>28/01/2026</t>
        </is>
      </c>
      <c r="C9" s="87" t="inlineStr">
        <is>
          <t>CLARO S.A.</t>
        </is>
      </c>
      <c r="D9" s="87" t="inlineStr">
        <is>
          <t>FAT.184180933</t>
        </is>
      </c>
      <c r="E9" s="87" t="inlineStr">
        <is>
          <t>97480/1</t>
        </is>
      </c>
      <c r="F9" s="87" t="inlineStr">
        <is>
          <t>Tetus</t>
        </is>
      </c>
      <c r="G9" s="87" t="inlineStr">
        <is>
          <t>T.I</t>
        </is>
      </c>
      <c r="H9" s="88" t="n">
        <v>123.76</v>
      </c>
    </row>
    <row r="10">
      <c r="A10" s="87" t="inlineStr">
        <is>
          <t>Jan/26</t>
        </is>
      </c>
      <c r="B10" s="87" t="inlineStr">
        <is>
          <t>05/01/2026</t>
        </is>
      </c>
      <c r="C10" s="87" t="inlineStr">
        <is>
          <t>CLICKSIGN GESTAO DE DOCUMENTOS S/A</t>
        </is>
      </c>
      <c r="D10" s="87" t="inlineStr">
        <is>
          <t>NFS.242313</t>
        </is>
      </c>
      <c r="E10" s="87" t="inlineStr">
        <is>
          <t>95923/1</t>
        </is>
      </c>
      <c r="F10" s="87" t="inlineStr">
        <is>
          <t>Tetus</t>
        </is>
      </c>
      <c r="G10" s="87" t="inlineStr">
        <is>
          <t>Júridico</t>
        </is>
      </c>
      <c r="H10" s="88" t="n">
        <v>285.09</v>
      </c>
    </row>
    <row r="11">
      <c r="A11" s="87" t="inlineStr">
        <is>
          <t>Jan/26</t>
        </is>
      </c>
      <c r="B11" s="87" t="inlineStr">
        <is>
          <t>28/01/2026</t>
        </is>
      </c>
      <c r="C11" s="87" t="inlineStr">
        <is>
          <t>CLICKSIGN GESTAO DE DOCUMENTOS S/A</t>
        </is>
      </c>
      <c r="D11" s="87" t="inlineStr">
        <is>
          <t>NFS.298674</t>
        </is>
      </c>
      <c r="E11" s="87" t="inlineStr">
        <is>
          <t>97145/1</t>
        </is>
      </c>
      <c r="F11" s="87" t="inlineStr">
        <is>
          <t>Tetus</t>
        </is>
      </c>
      <c r="G11" s="87" t="inlineStr">
        <is>
          <t>Júridico</t>
        </is>
      </c>
      <c r="H11" s="88" t="n">
        <v>284.79</v>
      </c>
    </row>
    <row r="12">
      <c r="A12" s="87" t="inlineStr">
        <is>
          <t>Jan/26</t>
        </is>
      </c>
      <c r="B12" s="87" t="inlineStr">
        <is>
          <t>16/01/2026</t>
        </is>
      </c>
      <c r="C12" s="87" t="inlineStr">
        <is>
          <t>Cristiane Carneiro Rabelo</t>
        </is>
      </c>
      <c r="D12" s="87" t="inlineStr">
        <is>
          <t>HON.HON 2025.2.1 Cris</t>
        </is>
      </c>
      <c r="E12" s="87" t="inlineStr">
        <is>
          <t>96169/1</t>
        </is>
      </c>
      <c r="F12" s="87" t="inlineStr">
        <is>
          <t>Tetus</t>
        </is>
      </c>
      <c r="G12" s="87" t="inlineStr">
        <is>
          <t>Júridico</t>
        </is>
      </c>
      <c r="H12" s="88" t="n">
        <v>16336.97</v>
      </c>
    </row>
    <row r="13">
      <c r="A13" s="87" t="inlineStr">
        <is>
          <t>Jan/26</t>
        </is>
      </c>
      <c r="B13" s="87" t="inlineStr">
        <is>
          <t>16/01/2026</t>
        </is>
      </c>
      <c r="C13" s="87" t="inlineStr">
        <is>
          <t>Cristiane Carneiro Rabelo</t>
        </is>
      </c>
      <c r="D13" s="87" t="inlineStr">
        <is>
          <t>CX.06.01.25</t>
        </is>
      </c>
      <c r="E13" s="87" t="inlineStr">
        <is>
          <t>96176/1</t>
        </is>
      </c>
      <c r="F13" s="87" t="inlineStr">
        <is>
          <t>Tetus</t>
        </is>
      </c>
      <c r="G13" s="87" t="inlineStr">
        <is>
          <t>Júridico</t>
        </is>
      </c>
      <c r="H13" s="88" t="n">
        <v>2671.51</v>
      </c>
    </row>
    <row r="14">
      <c r="A14" s="87" t="inlineStr">
        <is>
          <t>Jan/26</t>
        </is>
      </c>
      <c r="B14" s="87" t="inlineStr">
        <is>
          <t>23/01/2026</t>
        </is>
      </c>
      <c r="C14" s="87" t="inlineStr">
        <is>
          <t>Cristiane Carneiro Rabelo</t>
        </is>
      </c>
      <c r="D14" s="87" t="inlineStr">
        <is>
          <t>CX.MONDAY 2026</t>
        </is>
      </c>
      <c r="E14" s="87" t="inlineStr">
        <is>
          <t>96664/1</t>
        </is>
      </c>
      <c r="F14" s="87" t="inlineStr">
        <is>
          <t>Tetus</t>
        </is>
      </c>
      <c r="G14" s="87" t="inlineStr">
        <is>
          <t>Júridico</t>
        </is>
      </c>
      <c r="H14" s="88" t="n">
        <v>14700</v>
      </c>
    </row>
    <row r="15">
      <c r="A15" s="87" t="inlineStr">
        <is>
          <t>Jan/26</t>
        </is>
      </c>
      <c r="B15" s="87" t="inlineStr">
        <is>
          <t>07/01/2026</t>
        </is>
      </c>
      <c r="C15" s="87" t="inlineStr">
        <is>
          <t>EDITORA E DISTRIBUIDORA EDUCACIONAL S/A</t>
        </is>
      </c>
      <c r="D15" s="87" t="inlineStr">
        <is>
          <t>AV.MENSALIDADE 26</t>
        </is>
      </c>
      <c r="E15" s="87" t="inlineStr">
        <is>
          <t>94807/1</t>
        </is>
      </c>
      <c r="F15" s="87" t="inlineStr">
        <is>
          <t>Tetus</t>
        </is>
      </c>
      <c r="G15" s="87" t="inlineStr">
        <is>
          <t>Júridico</t>
        </is>
      </c>
      <c r="H15" s="88" t="n">
        <v>199.32</v>
      </c>
    </row>
    <row r="16">
      <c r="A16" s="87" t="inlineStr">
        <is>
          <t>Jan/26</t>
        </is>
      </c>
      <c r="B16" s="87" t="inlineStr">
        <is>
          <t>07/01/2026</t>
        </is>
      </c>
      <c r="C16" s="87" t="inlineStr">
        <is>
          <t>GEOVANA CAVALCANTI</t>
        </is>
      </c>
      <c r="D16" s="87" t="inlineStr">
        <is>
          <t>SAL.Sal_122025</t>
        </is>
      </c>
      <c r="E16" s="87" t="inlineStr">
        <is>
          <t>96211/1</t>
        </is>
      </c>
      <c r="F16" s="87" t="inlineStr">
        <is>
          <t>Tetus</t>
        </is>
      </c>
      <c r="G16" s="87" t="inlineStr">
        <is>
          <t>Júridico</t>
        </is>
      </c>
      <c r="H16" s="88" t="n">
        <v>2881</v>
      </c>
    </row>
    <row r="17">
      <c r="A17" s="87" t="inlineStr">
        <is>
          <t>Jan/26</t>
        </is>
      </c>
      <c r="B17" s="87" t="inlineStr">
        <is>
          <t>20/01/2026</t>
        </is>
      </c>
      <c r="C17" s="87" t="inlineStr">
        <is>
          <t>GEOVANA CAVALCANTI</t>
        </is>
      </c>
      <c r="D17" s="87" t="inlineStr">
        <is>
          <t>SAL.VALE_012026</t>
        </is>
      </c>
      <c r="E17" s="87" t="inlineStr">
        <is>
          <t>97383/1</t>
        </is>
      </c>
      <c r="F17" s="87" t="inlineStr">
        <is>
          <t>Tetus</t>
        </is>
      </c>
      <c r="G17" s="87" t="inlineStr">
        <is>
          <t>Júridico</t>
        </is>
      </c>
      <c r="H17" s="88" t="n">
        <v>1155</v>
      </c>
    </row>
    <row r="18">
      <c r="A18" s="87" t="inlineStr">
        <is>
          <t>Jan/26</t>
        </is>
      </c>
      <c r="B18" s="87" t="inlineStr">
        <is>
          <t>15/01/2026</t>
        </is>
      </c>
      <c r="C18" s="87" t="inlineStr">
        <is>
          <t>GOSHME SOLUCOES PARA A INTERNET LTDA</t>
        </is>
      </c>
      <c r="D18" s="87" t="inlineStr">
        <is>
          <t>AV.Jusbrasil 12.25</t>
        </is>
      </c>
      <c r="E18" s="87" t="inlineStr">
        <is>
          <t>94080/1</t>
        </is>
      </c>
      <c r="F18" s="87" t="inlineStr">
        <is>
          <t>Tetus</t>
        </is>
      </c>
      <c r="G18" s="87" t="inlineStr">
        <is>
          <t>Júridico</t>
        </is>
      </c>
      <c r="H18" s="88" t="n">
        <v>136.4</v>
      </c>
    </row>
    <row r="19">
      <c r="A19" s="87" t="inlineStr">
        <is>
          <t>Jan/26</t>
        </is>
      </c>
      <c r="B19" s="87" t="inlineStr">
        <is>
          <t>30/01/2026</t>
        </is>
      </c>
      <c r="C19" s="87" t="inlineStr">
        <is>
          <t>INTELBRAS S.A. INDUSTRIA DE TELECOMUNICACAO ELETRONICA BRASILEIRA</t>
        </is>
      </c>
      <c r="D19" s="87" t="inlineStr">
        <is>
          <t>NFS.347106</t>
        </is>
      </c>
      <c r="E19" s="87" t="inlineStr">
        <is>
          <t>96534/1</t>
        </is>
      </c>
      <c r="F19" s="87" t="inlineStr">
        <is>
          <t>Tetus</t>
        </is>
      </c>
      <c r="G19" s="87" t="inlineStr">
        <is>
          <t>T.I</t>
        </is>
      </c>
      <c r="H19" s="88" t="n">
        <v>79.59999999999999</v>
      </c>
    </row>
    <row r="20">
      <c r="A20" s="87" t="inlineStr">
        <is>
          <t>Jan/26</t>
        </is>
      </c>
      <c r="B20" s="87" t="inlineStr">
        <is>
          <t>19/01/2026</t>
        </is>
      </c>
      <c r="C20" s="87" t="inlineStr">
        <is>
          <t>J H ALVES - MONITOR REMOTO</t>
        </is>
      </c>
      <c r="D20" s="87" t="inlineStr">
        <is>
          <t>NFS.70</t>
        </is>
      </c>
      <c r="E20" s="87" t="inlineStr">
        <is>
          <t>96602/1</t>
        </is>
      </c>
      <c r="F20" s="87" t="inlineStr">
        <is>
          <t>Tetus</t>
        </is>
      </c>
      <c r="G20" s="87" t="inlineStr">
        <is>
          <t>T.I</t>
        </is>
      </c>
      <c r="H20" s="88" t="n">
        <v>4311.56</v>
      </c>
    </row>
    <row r="21">
      <c r="A21" s="87" t="inlineStr">
        <is>
          <t>Jan/26</t>
        </is>
      </c>
      <c r="B21" s="87" t="inlineStr">
        <is>
          <t>15/01/2026</t>
        </is>
      </c>
      <c r="C21" s="87" t="inlineStr">
        <is>
          <t>LIMA E BERNARDES SOCIEDADE DE ADVOGADOS</t>
        </is>
      </c>
      <c r="D21" s="87" t="inlineStr">
        <is>
          <t>AV.Acor. V.Lino 37 Vita</t>
        </is>
      </c>
      <c r="E21" s="87" t="inlineStr">
        <is>
          <t>86190/5</t>
        </is>
      </c>
      <c r="F21" s="87" t="inlineStr">
        <is>
          <t>FGV</t>
        </is>
      </c>
      <c r="G21" s="87" t="inlineStr">
        <is>
          <t>Júridico</t>
        </is>
      </c>
      <c r="H21" s="88" t="n">
        <v>3370.84</v>
      </c>
    </row>
    <row r="22">
      <c r="A22" s="87" t="inlineStr">
        <is>
          <t>Jan/26</t>
        </is>
      </c>
      <c r="B22" s="87" t="inlineStr">
        <is>
          <t>08/01/2026</t>
        </is>
      </c>
      <c r="C22" s="87" t="inlineStr">
        <is>
          <t>LOCAWEB SERVICOS DE INTERNET S/A</t>
        </is>
      </c>
      <c r="D22" s="87" t="inlineStr">
        <is>
          <t>AV.LIC EMAILS 01.25</t>
        </is>
      </c>
      <c r="E22" s="87" t="inlineStr">
        <is>
          <t>96014/1</t>
        </is>
      </c>
      <c r="F22" s="87" t="inlineStr">
        <is>
          <t>Tetus</t>
        </is>
      </c>
      <c r="G22" s="87" t="inlineStr">
        <is>
          <t>T.I</t>
        </is>
      </c>
      <c r="H22" s="88" t="n">
        <v>6.2</v>
      </c>
    </row>
    <row r="23">
      <c r="A23" s="87" t="inlineStr">
        <is>
          <t>Jan/26</t>
        </is>
      </c>
      <c r="B23" s="87" t="inlineStr">
        <is>
          <t>25/01/2026</t>
        </is>
      </c>
      <c r="C23" s="87" t="inlineStr">
        <is>
          <t>LOCAWEB SERVICOS DE INTERNET S/A</t>
        </is>
      </c>
      <c r="D23" s="87" t="inlineStr">
        <is>
          <t>BOL.13.01</t>
        </is>
      </c>
      <c r="E23" s="87" t="inlineStr">
        <is>
          <t>96623/1</t>
        </is>
      </c>
      <c r="F23" s="87" t="inlineStr">
        <is>
          <t>Tetus</t>
        </is>
      </c>
      <c r="G23" s="87" t="inlineStr">
        <is>
          <t>T.I</t>
        </is>
      </c>
      <c r="H23" s="88" t="n">
        <v>918.08</v>
      </c>
    </row>
    <row r="24">
      <c r="A24" s="87" t="inlineStr">
        <is>
          <t>Jan/26</t>
        </is>
      </c>
      <c r="B24" s="87" t="inlineStr">
        <is>
          <t>07/01/2026</t>
        </is>
      </c>
      <c r="C24" s="87" t="inlineStr">
        <is>
          <t>MICHELE DE OLIVEIRA SILVA</t>
        </is>
      </c>
      <c r="D24" s="87" t="inlineStr">
        <is>
          <t>AV.HON_1310A</t>
        </is>
      </c>
      <c r="E24" s="87" t="inlineStr">
        <is>
          <t>81462/6</t>
        </is>
      </c>
      <c r="F24" s="87" t="inlineStr">
        <is>
          <t>Padre Eugênio</t>
        </is>
      </c>
      <c r="G24" s="87" t="inlineStr">
        <is>
          <t>Júridico</t>
        </is>
      </c>
      <c r="H24" s="88" t="n">
        <v>144.34</v>
      </c>
    </row>
    <row r="25">
      <c r="A25" s="87" t="inlineStr">
        <is>
          <t>Jan/26</t>
        </is>
      </c>
      <c r="B25" s="87" t="inlineStr">
        <is>
          <t>07/01/2026</t>
        </is>
      </c>
      <c r="C25" s="87" t="inlineStr">
        <is>
          <t>MICHELE DE OLIVEIRA SILVA</t>
        </is>
      </c>
      <c r="D25" s="87" t="inlineStr">
        <is>
          <t>AV.HON_802A</t>
        </is>
      </c>
      <c r="E25" s="87" t="inlineStr">
        <is>
          <t>89206/3</t>
        </is>
      </c>
      <c r="F25" s="87" t="inlineStr">
        <is>
          <t>Padre Eugênio</t>
        </is>
      </c>
      <c r="G25" s="87" t="inlineStr">
        <is>
          <t>Júridico</t>
        </is>
      </c>
      <c r="H25" s="88" t="n">
        <v>116.62</v>
      </c>
    </row>
    <row r="26">
      <c r="A26" s="87" t="inlineStr">
        <is>
          <t>Jan/26</t>
        </is>
      </c>
      <c r="B26" s="87" t="inlineStr">
        <is>
          <t>07/01/2026</t>
        </is>
      </c>
      <c r="C26" s="87" t="inlineStr">
        <is>
          <t>MICHELE DE OLIVEIRA SILVA</t>
        </is>
      </c>
      <c r="D26" s="87" t="inlineStr">
        <is>
          <t>AV.HON. PROCESSO 1008B</t>
        </is>
      </c>
      <c r="E26" s="87" t="inlineStr">
        <is>
          <t>95287/1</t>
        </is>
      </c>
      <c r="F26" s="87" t="inlineStr">
        <is>
          <t>Padre Eugênio</t>
        </is>
      </c>
      <c r="G26" s="87" t="inlineStr">
        <is>
          <t>Júridico</t>
        </is>
      </c>
      <c r="H26" s="88" t="n">
        <v>491.89</v>
      </c>
    </row>
    <row r="27">
      <c r="A27" s="87" t="inlineStr">
        <is>
          <t>Jan/26</t>
        </is>
      </c>
      <c r="B27" s="87" t="inlineStr">
        <is>
          <t>09/01/2026</t>
        </is>
      </c>
      <c r="C27" s="87" t="inlineStr">
        <is>
          <t>MICHELE DE OLIVEIRA SILVA</t>
        </is>
      </c>
      <c r="D27" s="87" t="inlineStr">
        <is>
          <t>AV.HON. 304C VERANO</t>
        </is>
      </c>
      <c r="E27" s="87" t="inlineStr">
        <is>
          <t>78609/8</t>
        </is>
      </c>
      <c r="F27" s="87" t="inlineStr">
        <is>
          <t>San Marino</t>
        </is>
      </c>
      <c r="G27" s="87" t="inlineStr">
        <is>
          <t>Júridico</t>
        </is>
      </c>
      <c r="H27" s="88" t="n">
        <v>234.31</v>
      </c>
    </row>
    <row r="28">
      <c r="A28" s="87" t="inlineStr">
        <is>
          <t>Jan/26</t>
        </is>
      </c>
      <c r="B28" s="87" t="inlineStr">
        <is>
          <t>09/01/2026</t>
        </is>
      </c>
      <c r="C28" s="87" t="inlineStr">
        <is>
          <t>MICHELE DE OLIVEIRA SILVA</t>
        </is>
      </c>
      <c r="D28" s="87" t="inlineStr">
        <is>
          <t>HON.HON. PROCESSO 1404B</t>
        </is>
      </c>
      <c r="E28" s="87" t="inlineStr">
        <is>
          <t>95170/3</t>
        </is>
      </c>
      <c r="F28" s="87" t="inlineStr">
        <is>
          <t>San Marino</t>
        </is>
      </c>
      <c r="G28" s="87" t="inlineStr">
        <is>
          <t>Júridico</t>
        </is>
      </c>
      <c r="H28" s="88" t="n">
        <v>199.12</v>
      </c>
    </row>
    <row r="29">
      <c r="A29" s="87" t="inlineStr">
        <is>
          <t>Jan/26</t>
        </is>
      </c>
      <c r="B29" s="87" t="inlineStr">
        <is>
          <t>07/01/2026</t>
        </is>
      </c>
      <c r="C29" s="87" t="inlineStr">
        <is>
          <t>MICHELE DE OLIVEIRA SILVA</t>
        </is>
      </c>
      <c r="D29" s="87" t="inlineStr">
        <is>
          <t>AV.Acord. Hon Michele</t>
        </is>
      </c>
      <c r="E29" s="87" t="inlineStr">
        <is>
          <t>86191/4</t>
        </is>
      </c>
      <c r="F29" s="87" t="inlineStr">
        <is>
          <t>FGV</t>
        </is>
      </c>
      <c r="G29" s="87" t="inlineStr">
        <is>
          <t>Júridico</t>
        </is>
      </c>
      <c r="H29" s="88" t="n">
        <v>390.11</v>
      </c>
    </row>
    <row r="30">
      <c r="A30" s="87" t="inlineStr">
        <is>
          <t>Jan/26</t>
        </is>
      </c>
      <c r="B30" s="87" t="inlineStr">
        <is>
          <t>05/01/2026</t>
        </is>
      </c>
      <c r="C30" s="87" t="inlineStr">
        <is>
          <t>MICHELE DE OLIVEIRA SILVA</t>
        </is>
      </c>
      <c r="D30" s="87" t="inlineStr">
        <is>
          <t>REC.RecibosMichele_2026</t>
        </is>
      </c>
      <c r="E30" s="87" t="inlineStr">
        <is>
          <t>96274/1</t>
        </is>
      </c>
      <c r="F30" s="87" t="inlineStr">
        <is>
          <t>Tetus</t>
        </is>
      </c>
      <c r="G30" s="87" t="inlineStr">
        <is>
          <t>Júridico</t>
        </is>
      </c>
      <c r="H30" s="88" t="n">
        <v>2750</v>
      </c>
    </row>
    <row r="31">
      <c r="A31" s="87" t="inlineStr">
        <is>
          <t>Jan/26</t>
        </is>
      </c>
      <c r="B31" s="87" t="inlineStr">
        <is>
          <t>16/01/2026</t>
        </is>
      </c>
      <c r="C31" s="87" t="inlineStr">
        <is>
          <t>MIGUEL CLEPF PASSOS</t>
        </is>
      </c>
      <c r="D31" s="87" t="inlineStr">
        <is>
          <t>AV.Honor. 2 Miguel 2025</t>
        </is>
      </c>
      <c r="E31" s="87" t="inlineStr">
        <is>
          <t>96104/1</t>
        </is>
      </c>
      <c r="F31" s="87" t="inlineStr">
        <is>
          <t>Tetus</t>
        </is>
      </c>
      <c r="G31" s="87" t="inlineStr">
        <is>
          <t>Júridico</t>
        </is>
      </c>
      <c r="H31" s="88" t="n">
        <v>7906.44</v>
      </c>
    </row>
    <row r="32">
      <c r="A32" s="87" t="inlineStr">
        <is>
          <t>Jan/26</t>
        </is>
      </c>
      <c r="B32" s="87" t="inlineStr">
        <is>
          <t>30/01/2026</t>
        </is>
      </c>
      <c r="C32" s="87" t="inlineStr">
        <is>
          <t>MUTUA DE ASSISTENCIA DOS PROFISSIO DA ENG ARQ AGRONOMIA</t>
        </is>
      </c>
      <c r="D32" s="87" t="inlineStr">
        <is>
          <t>BOL.Anuidade Mutua</t>
        </is>
      </c>
      <c r="E32" s="87" t="inlineStr">
        <is>
          <t>96314/1</t>
        </is>
      </c>
      <c r="F32" s="87" t="inlineStr">
        <is>
          <t>Tetus</t>
        </is>
      </c>
      <c r="G32" s="87" t="inlineStr">
        <is>
          <t>Júridico</t>
        </is>
      </c>
      <c r="H32" s="88" t="n">
        <v>170</v>
      </c>
    </row>
    <row r="33">
      <c r="A33" s="87" t="inlineStr">
        <is>
          <t>Jan/26</t>
        </is>
      </c>
      <c r="B33" s="87" t="inlineStr">
        <is>
          <t>15/01/2026</t>
        </is>
      </c>
      <c r="C33" s="87" t="inlineStr">
        <is>
          <t>OBVIO BRASIL SOFTWARE E SERVICOS LTDA</t>
        </is>
      </c>
      <c r="D33" s="87" t="inlineStr">
        <is>
          <t>NFS.539690</t>
        </is>
      </c>
      <c r="E33" s="87" t="inlineStr">
        <is>
          <t>95938/1</t>
        </is>
      </c>
      <c r="F33" s="87" t="inlineStr">
        <is>
          <t>Tetus</t>
        </is>
      </c>
      <c r="G33" s="87" t="inlineStr">
        <is>
          <t>Júridico</t>
        </is>
      </c>
      <c r="H33" s="88" t="n">
        <v>551.95</v>
      </c>
    </row>
    <row r="34">
      <c r="A34" s="87" t="inlineStr">
        <is>
          <t>Jan/26</t>
        </is>
      </c>
      <c r="B34" s="87" t="inlineStr">
        <is>
          <t>16/01/2026</t>
        </is>
      </c>
      <c r="C34" s="87" t="inlineStr">
        <is>
          <t>OPERADOR NACIONAL DO SISTEMA DE REGISTRO ELETRONICO DE IMOVEIS ( ONR )</t>
        </is>
      </c>
      <c r="D34" s="87" t="inlineStr">
        <is>
          <t>BOL.REG SAN M 01.26</t>
        </is>
      </c>
      <c r="E34" s="87" t="inlineStr">
        <is>
          <t>96113/1</t>
        </is>
      </c>
      <c r="F34" s="87" t="inlineStr">
        <is>
          <t>San Marino</t>
        </is>
      </c>
      <c r="G34" s="87" t="inlineStr">
        <is>
          <t>Júridico</t>
        </is>
      </c>
      <c r="H34" s="88" t="n">
        <v>1000.45</v>
      </c>
    </row>
    <row r="35">
      <c r="A35" s="87" t="inlineStr">
        <is>
          <t>Jan/26</t>
        </is>
      </c>
      <c r="B35" s="87" t="inlineStr">
        <is>
          <t>12/01/2026</t>
        </is>
      </c>
      <c r="C35" s="87" t="inlineStr">
        <is>
          <t>OPERADOR NACIONAL DO SISTEMA DE REGISTRO ELETRONICO DE IMOVEIS ( ONR )</t>
        </is>
      </c>
      <c r="D35" s="87" t="inlineStr">
        <is>
          <t>AV.Aval_Terreno</t>
        </is>
      </c>
      <c r="E35" s="87" t="inlineStr">
        <is>
          <t>100399/1</t>
        </is>
      </c>
      <c r="F35" s="87" t="inlineStr">
        <is>
          <t>Tetus</t>
        </is>
      </c>
      <c r="G35" s="87" t="inlineStr">
        <is>
          <t>Júridico</t>
        </is>
      </c>
      <c r="H35" s="88" t="n">
        <v>6761.89</v>
      </c>
    </row>
    <row r="36">
      <c r="A36" s="87" t="inlineStr">
        <is>
          <t>Jan/26</t>
        </is>
      </c>
      <c r="B36" s="87" t="inlineStr">
        <is>
          <t>28/01/2026</t>
        </is>
      </c>
      <c r="C36" s="87" t="inlineStr">
        <is>
          <t>OPERADOR NACIONAL DO SISTEMA DE REGISTRO ELETRONICO DE IMOVEIS ( ONR )</t>
        </is>
      </c>
      <c r="D36" s="87" t="inlineStr">
        <is>
          <t>BOL.ONR_28012026</t>
        </is>
      </c>
      <c r="E36" s="87" t="inlineStr">
        <is>
          <t>100551/1</t>
        </is>
      </c>
      <c r="F36" s="87" t="inlineStr">
        <is>
          <t>Tetus</t>
        </is>
      </c>
      <c r="G36" s="87" t="inlineStr">
        <is>
          <t>Júridico</t>
        </is>
      </c>
      <c r="H36" s="88" t="n">
        <v>1000.45</v>
      </c>
    </row>
    <row r="37">
      <c r="A37" s="87" t="inlineStr">
        <is>
          <t>Jan/26</t>
        </is>
      </c>
      <c r="B37" s="87" t="inlineStr">
        <is>
          <t>23/01/2026</t>
        </is>
      </c>
      <c r="C37" s="87" t="inlineStr">
        <is>
          <t>ORDEM DOS ADVOGADOS DO BRASIL - SECCAO DE SAO PAULO</t>
        </is>
      </c>
      <c r="D37" s="87" t="inlineStr">
        <is>
          <t>AV.OAB 2026 MIGUEL</t>
        </is>
      </c>
      <c r="E37" s="87" t="inlineStr">
        <is>
          <t>95996/1</t>
        </is>
      </c>
      <c r="F37" s="87" t="inlineStr">
        <is>
          <t>Tetus</t>
        </is>
      </c>
      <c r="G37" s="87" t="inlineStr">
        <is>
          <t>Júridico</t>
        </is>
      </c>
      <c r="H37" s="88" t="n">
        <v>840</v>
      </c>
    </row>
    <row r="38">
      <c r="A38" s="87" t="inlineStr">
        <is>
          <t>Jan/26</t>
        </is>
      </c>
      <c r="B38" s="87" t="inlineStr">
        <is>
          <t>23/01/2026</t>
        </is>
      </c>
      <c r="C38" s="87" t="inlineStr">
        <is>
          <t>ORDEM DOS ADVOGADOS DO BRASIL - SECCAO DE SAO PAULO</t>
        </is>
      </c>
      <c r="D38" s="87" t="inlineStr">
        <is>
          <t>BOL.75017385360126701</t>
        </is>
      </c>
      <c r="E38" s="87" t="inlineStr">
        <is>
          <t>96155/1</t>
        </is>
      </c>
      <c r="F38" s="87" t="inlineStr">
        <is>
          <t>Tetus</t>
        </is>
      </c>
      <c r="G38" s="87" t="inlineStr">
        <is>
          <t>Júridico</t>
        </is>
      </c>
      <c r="H38" s="88" t="n">
        <v>1050</v>
      </c>
    </row>
    <row r="39">
      <c r="A39" s="87" t="inlineStr">
        <is>
          <t>Jan/26</t>
        </is>
      </c>
      <c r="B39" s="87" t="inlineStr">
        <is>
          <t>30/01/2026</t>
        </is>
      </c>
      <c r="C39" s="87" t="inlineStr">
        <is>
          <t>SABHA INTELIGENCIA EM TECNOLOGIA LTDA</t>
        </is>
      </c>
      <c r="D39" s="87" t="inlineStr">
        <is>
          <t>FAT.2682</t>
        </is>
      </c>
      <c r="E39" s="87" t="inlineStr">
        <is>
          <t>96458/1</t>
        </is>
      </c>
      <c r="F39" s="87" t="inlineStr">
        <is>
          <t>Tetus</t>
        </is>
      </c>
      <c r="G39" s="87" t="inlineStr">
        <is>
          <t>T.I</t>
        </is>
      </c>
      <c r="H39" s="88" t="n">
        <v>723.75</v>
      </c>
    </row>
    <row r="40">
      <c r="A40" s="87" t="inlineStr">
        <is>
          <t>Jan/26</t>
        </is>
      </c>
      <c r="B40" s="87" t="inlineStr">
        <is>
          <t>16/01/2026</t>
        </is>
      </c>
      <c r="C40" s="87" t="inlineStr">
        <is>
          <t>SAO PAULO TRIBUNAL DE JUSTICA</t>
        </is>
      </c>
      <c r="D40" s="87" t="inlineStr">
        <is>
          <t>AV.Guia Cit 407 B Aurr</t>
        </is>
      </c>
      <c r="E40" s="87" t="inlineStr">
        <is>
          <t>96105/1</t>
        </is>
      </c>
      <c r="F40" s="87" t="inlineStr">
        <is>
          <t>Padre Eugênio</t>
        </is>
      </c>
      <c r="G40" s="87" t="inlineStr">
        <is>
          <t>Júridico</t>
        </is>
      </c>
      <c r="H40" s="88" t="n">
        <v>34.35</v>
      </c>
    </row>
    <row r="41">
      <c r="A41" s="87" t="inlineStr">
        <is>
          <t>Jan/26</t>
        </is>
      </c>
      <c r="B41" s="87" t="inlineStr">
        <is>
          <t>20/01/2026</t>
        </is>
      </c>
      <c r="C41" s="87" t="inlineStr">
        <is>
          <t>SAO PAULO TRIBUNAL DE JUSTICA</t>
        </is>
      </c>
      <c r="D41" s="87" t="inlineStr">
        <is>
          <t>AV.Apelação 304 A Auror</t>
        </is>
      </c>
      <c r="E41" s="87" t="inlineStr">
        <is>
          <t>96662/1</t>
        </is>
      </c>
      <c r="F41" s="87" t="inlineStr">
        <is>
          <t>Padre Eugênio</t>
        </is>
      </c>
      <c r="G41" s="87" t="inlineStr">
        <is>
          <t>Júridico</t>
        </is>
      </c>
      <c r="H41" s="88" t="n">
        <v>209.73</v>
      </c>
    </row>
    <row r="42">
      <c r="A42" s="87" t="inlineStr">
        <is>
          <t>Jan/26</t>
        </is>
      </c>
      <c r="B42" s="87" t="inlineStr">
        <is>
          <t>16/01/2026</t>
        </is>
      </c>
      <c r="C42" s="87" t="inlineStr">
        <is>
          <t>SAO PAULO TRIBUNAL DE JUSTICA</t>
        </is>
      </c>
      <c r="D42" s="87" t="inlineStr">
        <is>
          <t>AV.510 c 16.01</t>
        </is>
      </c>
      <c r="E42" s="87" t="inlineStr">
        <is>
          <t>97482/1</t>
        </is>
      </c>
      <c r="F42" s="87" t="inlineStr">
        <is>
          <t>San Marino</t>
        </is>
      </c>
      <c r="G42" s="87" t="inlineStr">
        <is>
          <t>Júridico</t>
        </is>
      </c>
      <c r="H42" s="88" t="n">
        <v>111.06</v>
      </c>
    </row>
    <row r="43">
      <c r="A43" s="87" t="inlineStr">
        <is>
          <t>Jan/26</t>
        </is>
      </c>
      <c r="B43" s="87" t="inlineStr">
        <is>
          <t>19/01/2026</t>
        </is>
      </c>
      <c r="C43" s="87" t="inlineStr">
        <is>
          <t>SAO PAULO TRIBUNAL DE JUSTICA</t>
        </is>
      </c>
      <c r="D43" s="87" t="inlineStr">
        <is>
          <t>AV.Guia 510 C Verano Jo</t>
        </is>
      </c>
      <c r="E43" s="87" t="inlineStr">
        <is>
          <t>96107/1</t>
        </is>
      </c>
      <c r="F43" s="87" t="inlineStr">
        <is>
          <t>San Marino</t>
        </is>
      </c>
      <c r="G43" s="87" t="inlineStr">
        <is>
          <t>Júridico</t>
        </is>
      </c>
      <c r="H43" s="88" t="n">
        <v>38.42</v>
      </c>
    </row>
    <row r="44">
      <c r="A44" s="87" t="inlineStr">
        <is>
          <t>Jan/26</t>
        </is>
      </c>
      <c r="B44" s="87" t="inlineStr">
        <is>
          <t>21/01/2026</t>
        </is>
      </c>
      <c r="C44" s="87" t="inlineStr">
        <is>
          <t>SAO PAULO TRIBUNAL DE JUSTICA</t>
        </is>
      </c>
      <c r="D44" s="87" t="inlineStr">
        <is>
          <t>AV.Guia tx ev 501 A Ver</t>
        </is>
      </c>
      <c r="E44" s="87" t="inlineStr">
        <is>
          <t>96330/1</t>
        </is>
      </c>
      <c r="F44" s="87" t="inlineStr">
        <is>
          <t>San Marino</t>
        </is>
      </c>
      <c r="G44" s="87" t="inlineStr">
        <is>
          <t>Júridico</t>
        </is>
      </c>
      <c r="H44" s="88" t="n">
        <v>254.44</v>
      </c>
    </row>
    <row r="45">
      <c r="A45" s="87" t="inlineStr">
        <is>
          <t>Jan/26</t>
        </is>
      </c>
      <c r="B45" s="87" t="inlineStr">
        <is>
          <t>21/01/2026</t>
        </is>
      </c>
      <c r="C45" s="87" t="inlineStr">
        <is>
          <t>SAO PAULO TRIBUNAL DE JUSTICA</t>
        </is>
      </c>
      <c r="D45" s="87" t="inlineStr">
        <is>
          <t>AV.Guia Exec 501 A VErr</t>
        </is>
      </c>
      <c r="E45" s="87" t="inlineStr">
        <is>
          <t>96331/1</t>
        </is>
      </c>
      <c r="F45" s="87" t="inlineStr">
        <is>
          <t>San Marino</t>
        </is>
      </c>
      <c r="G45" s="87" t="inlineStr">
        <is>
          <t>Júridico</t>
        </is>
      </c>
      <c r="H45" s="88" t="n">
        <v>700.1</v>
      </c>
    </row>
    <row r="46">
      <c r="A46" s="87" t="inlineStr">
        <is>
          <t>Jan/26</t>
        </is>
      </c>
      <c r="B46" s="87" t="inlineStr">
        <is>
          <t>28/01/2026</t>
        </is>
      </c>
      <c r="C46" s="87" t="inlineStr">
        <is>
          <t>SAO PAULO TRIBUNAL DE JUSTICA</t>
        </is>
      </c>
      <c r="D46" s="87" t="inlineStr">
        <is>
          <t>AV.Execução 001 A Veran</t>
        </is>
      </c>
      <c r="E46" s="87" t="inlineStr">
        <is>
          <t>96675/1</t>
        </is>
      </c>
      <c r="F46" s="87" t="inlineStr">
        <is>
          <t>San Marino</t>
        </is>
      </c>
      <c r="G46" s="87" t="inlineStr">
        <is>
          <t>Júridico</t>
        </is>
      </c>
      <c r="H46" s="88" t="n">
        <v>509.67</v>
      </c>
    </row>
    <row r="47">
      <c r="A47" s="87" t="inlineStr">
        <is>
          <t>Jan/26</t>
        </is>
      </c>
      <c r="B47" s="87" t="inlineStr">
        <is>
          <t>26/01/2026</t>
        </is>
      </c>
      <c r="C47" s="87" t="inlineStr">
        <is>
          <t>SAO PAULO TRIBUNAL DE JUSTICA</t>
        </is>
      </c>
      <c r="D47" s="87" t="inlineStr">
        <is>
          <t>AV.Exec. 92 Vita Villag</t>
        </is>
      </c>
      <c r="E47" s="87" t="inlineStr">
        <is>
          <t>96785/1</t>
        </is>
      </c>
      <c r="F47" s="87" t="inlineStr">
        <is>
          <t>FGV</t>
        </is>
      </c>
      <c r="G47" s="87" t="inlineStr">
        <is>
          <t>Júridico</t>
        </is>
      </c>
      <c r="H47" s="88" t="n">
        <v>707.3</v>
      </c>
    </row>
    <row r="48">
      <c r="A48" s="87" t="inlineStr">
        <is>
          <t>Jan/26</t>
        </is>
      </c>
      <c r="B48" s="87" t="inlineStr">
        <is>
          <t>16/01/2026</t>
        </is>
      </c>
      <c r="C48" s="87" t="inlineStr">
        <is>
          <t>SAO PAULO TRIBUNAL DE JUSTICA</t>
        </is>
      </c>
      <c r="D48" s="87" t="inlineStr">
        <is>
          <t>AV.Guia Paulo 16 Contem</t>
        </is>
      </c>
      <c r="E48" s="87" t="inlineStr">
        <is>
          <t>96106/1</t>
        </is>
      </c>
      <c r="F48" s="87" t="inlineStr">
        <is>
          <t>Tetus</t>
        </is>
      </c>
      <c r="G48" s="87" t="inlineStr">
        <is>
          <t>Júridico</t>
        </is>
      </c>
      <c r="H48" s="88" t="n">
        <v>192.1</v>
      </c>
    </row>
    <row r="49">
      <c r="A49" s="87" t="inlineStr">
        <is>
          <t>Jan/26</t>
        </is>
      </c>
      <c r="B49" s="87" t="inlineStr">
        <is>
          <t>15/01/2026</t>
        </is>
      </c>
      <c r="C49" s="87" t="inlineStr">
        <is>
          <t>SERASA S.A.</t>
        </is>
      </c>
      <c r="D49" s="87" t="inlineStr">
        <is>
          <t>NFS.5883842</t>
        </is>
      </c>
      <c r="E49" s="87" t="inlineStr">
        <is>
          <t>96423/1</t>
        </is>
      </c>
      <c r="F49" s="87" t="inlineStr">
        <is>
          <t>Tetus</t>
        </is>
      </c>
      <c r="G49" s="87" t="inlineStr">
        <is>
          <t>Júridico</t>
        </is>
      </c>
      <c r="H49" s="88" t="n">
        <v>1818.03</v>
      </c>
    </row>
    <row r="50">
      <c r="A50" s="87" t="inlineStr">
        <is>
          <t>Jan/26</t>
        </is>
      </c>
      <c r="B50" s="87" t="inlineStr">
        <is>
          <t>15/01/2026</t>
        </is>
      </c>
      <c r="C50" s="87" t="inlineStr">
        <is>
          <t>SERASA S.A.</t>
        </is>
      </c>
      <c r="D50" s="87" t="inlineStr">
        <is>
          <t>NFS.5881460</t>
        </is>
      </c>
      <c r="E50" s="87" t="inlineStr">
        <is>
          <t>96432/1</t>
        </is>
      </c>
      <c r="F50" s="87" t="inlineStr">
        <is>
          <t>Tetus</t>
        </is>
      </c>
      <c r="G50" s="87" t="inlineStr">
        <is>
          <t>Júridico</t>
        </is>
      </c>
      <c r="H50" s="88" t="n">
        <v>11.74</v>
      </c>
    </row>
    <row r="51">
      <c r="A51" s="87" t="inlineStr">
        <is>
          <t>Jan/26</t>
        </is>
      </c>
      <c r="B51" s="87" t="inlineStr">
        <is>
          <t>2026-01-01 00:00:00</t>
        </is>
      </c>
      <c r="C51" s="87" t="inlineStr">
        <is>
          <t>TAUBATE CARTORIO DE REGISTRO CIVIL E TABELIONATO DE QUIRIRIM</t>
        </is>
      </c>
      <c r="D51" s="87" t="inlineStr">
        <is>
          <t>BOL.06.2026</t>
        </is>
      </c>
      <c r="E51" s="87" t="inlineStr">
        <is>
          <t>112568/1</t>
        </is>
      </c>
      <c r="F51" s="87" t="inlineStr">
        <is>
          <t>Tetus</t>
        </is>
      </c>
      <c r="G51" s="87" t="inlineStr">
        <is>
          <t>Júridico</t>
        </is>
      </c>
      <c r="H51" s="88" t="n">
        <v>9.18</v>
      </c>
    </row>
    <row r="52">
      <c r="A52" s="87" t="inlineStr">
        <is>
          <t>Jan/26</t>
        </is>
      </c>
      <c r="B52" s="87" t="inlineStr">
        <is>
          <t>12/01/2026</t>
        </is>
      </c>
      <c r="C52" s="87" t="inlineStr">
        <is>
          <t>TELEFONICA BRASIL S.A.</t>
        </is>
      </c>
      <c r="D52" s="87" t="inlineStr">
        <is>
          <t>FAT.2011241340</t>
        </is>
      </c>
      <c r="E52" s="87" t="inlineStr">
        <is>
          <t>96088/1</t>
        </is>
      </c>
      <c r="F52" s="87" t="inlineStr">
        <is>
          <t>Tetus</t>
        </is>
      </c>
      <c r="G52" s="87" t="inlineStr">
        <is>
          <t>T.I</t>
        </is>
      </c>
      <c r="H52" s="88" t="n">
        <v>51.63</v>
      </c>
    </row>
    <row r="53">
      <c r="A53" s="87" t="inlineStr">
        <is>
          <t>Jan/26</t>
        </is>
      </c>
      <c r="B53" s="87" t="inlineStr">
        <is>
          <t>22/01/2026</t>
        </is>
      </c>
      <c r="C53" s="87" t="inlineStr">
        <is>
          <t>TIM S A</t>
        </is>
      </c>
      <c r="D53" s="87" t="inlineStr">
        <is>
          <t>FAT.5664047504</t>
        </is>
      </c>
      <c r="E53" s="87" t="inlineStr">
        <is>
          <t>96789/1</t>
        </is>
      </c>
      <c r="F53" s="87" t="inlineStr">
        <is>
          <t>Tetus</t>
        </is>
      </c>
      <c r="G53" s="87" t="inlineStr">
        <is>
          <t>T.I</t>
        </is>
      </c>
      <c r="H53" s="88" t="n">
        <v>331.42</v>
      </c>
    </row>
    <row r="54">
      <c r="A54" s="87" t="inlineStr">
        <is>
          <t>Jan/26</t>
        </is>
      </c>
      <c r="B54" s="87" t="inlineStr">
        <is>
          <t>26/01/2026</t>
        </is>
      </c>
      <c r="C54" s="87" t="inlineStr">
        <is>
          <t>VINICIUS DI FRANCO HEITOR</t>
        </is>
      </c>
      <c r="D54" s="87" t="inlineStr">
        <is>
          <t>CX.16.01.26</t>
        </is>
      </c>
      <c r="E54" s="87" t="inlineStr">
        <is>
          <t>97067/1</t>
        </is>
      </c>
      <c r="F54" s="87" t="inlineStr">
        <is>
          <t>Tetus</t>
        </is>
      </c>
      <c r="G54" s="87" t="inlineStr">
        <is>
          <t>T.I</t>
        </is>
      </c>
      <c r="H54" s="88" t="n">
        <v>39.84</v>
      </c>
    </row>
    <row r="55">
      <c r="A55" s="87" t="inlineStr">
        <is>
          <t>Jan/26</t>
        </is>
      </c>
      <c r="B55" s="87" t="inlineStr">
        <is>
          <t>07/01/2026</t>
        </is>
      </c>
      <c r="C55" s="87" t="inlineStr">
        <is>
          <t>VINICIUS DI FRANCO HEITOR</t>
        </is>
      </c>
      <c r="D55" s="87" t="inlineStr">
        <is>
          <t>SAL.Sal_122025</t>
        </is>
      </c>
      <c r="E55" s="87" t="inlineStr">
        <is>
          <t>96252/1</t>
        </is>
      </c>
      <c r="F55" s="87" t="inlineStr">
        <is>
          <t>Tetus</t>
        </is>
      </c>
      <c r="G55" s="87" t="inlineStr">
        <is>
          <t>T.I</t>
        </is>
      </c>
      <c r="H55" s="88" t="n">
        <v>1602</v>
      </c>
    </row>
    <row r="56">
      <c r="A56" s="87" t="inlineStr">
        <is>
          <t>Jan/26</t>
        </is>
      </c>
      <c r="B56" s="87" t="inlineStr">
        <is>
          <t>20/01/2026</t>
        </is>
      </c>
      <c r="C56" s="87" t="inlineStr">
        <is>
          <t>VINICIUS DI FRANCO HEITOR</t>
        </is>
      </c>
      <c r="D56" s="87" t="inlineStr">
        <is>
          <t>SAL.VALE_ 012026</t>
        </is>
      </c>
      <c r="E56" s="87" t="inlineStr">
        <is>
          <t>97269/1</t>
        </is>
      </c>
      <c r="F56" s="87" t="inlineStr">
        <is>
          <t>Tetus</t>
        </is>
      </c>
      <c r="G56" s="87" t="inlineStr">
        <is>
          <t>T.I</t>
        </is>
      </c>
      <c r="H56" s="88" t="n">
        <v>1029</v>
      </c>
    </row>
    <row r="57">
      <c r="A57" s="87" t="inlineStr">
        <is>
          <t>Jan/26</t>
        </is>
      </c>
      <c r="B57" s="87" t="inlineStr">
        <is>
          <t>26/01/2026</t>
        </is>
      </c>
      <c r="C57" s="87" t="inlineStr">
        <is>
          <t>VITOR SOARES REZENDE ARANTES</t>
        </is>
      </c>
      <c r="D57" s="87" t="inlineStr">
        <is>
          <t>CX.15.01</t>
        </is>
      </c>
      <c r="E57" s="87" t="inlineStr">
        <is>
          <t>96799/1</t>
        </is>
      </c>
      <c r="F57" s="87" t="inlineStr">
        <is>
          <t>FGV</t>
        </is>
      </c>
      <c r="G57" s="87" t="inlineStr">
        <is>
          <t>Júridico</t>
        </is>
      </c>
      <c r="H57" s="88" t="n">
        <v>5211</v>
      </c>
    </row>
    <row r="58">
      <c r="A58" s="87" t="inlineStr">
        <is>
          <t>Jan/26</t>
        </is>
      </c>
      <c r="B58" s="87" t="inlineStr">
        <is>
          <t>27/01/2026</t>
        </is>
      </c>
      <c r="C58" s="87" t="inlineStr">
        <is>
          <t>WEB MOBILE TELECOM LTDA</t>
        </is>
      </c>
      <c r="D58" s="87" t="inlineStr">
        <is>
          <t>BOL.1</t>
        </is>
      </c>
      <c r="E58" s="87" t="inlineStr">
        <is>
          <t>97204/1</t>
        </is>
      </c>
      <c r="F58" s="87" t="inlineStr">
        <is>
          <t>Tetus</t>
        </is>
      </c>
      <c r="G58" s="87" t="inlineStr">
        <is>
          <t>T.I</t>
        </is>
      </c>
      <c r="H58" s="88" t="n">
        <v>82.5</v>
      </c>
    </row>
    <row r="59">
      <c r="A59" s="87" t="inlineStr">
        <is>
          <t>Fev/26</t>
        </is>
      </c>
      <c r="B59" s="87" t="inlineStr">
        <is>
          <t>01/02/2026</t>
        </is>
      </c>
      <c r="C59" s="87" t="inlineStr">
        <is>
          <t>61.582.518 MIGUEL CLEPF PASSOS</t>
        </is>
      </c>
      <c r="D59" s="87" t="inlineStr">
        <is>
          <t>NFS.8</t>
        </is>
      </c>
      <c r="E59" s="87" t="inlineStr">
        <is>
          <t>97280/1</t>
        </is>
      </c>
      <c r="F59" s="87" t="inlineStr">
        <is>
          <t>Tetus</t>
        </is>
      </c>
      <c r="G59" s="87" t="inlineStr">
        <is>
          <t>Júridico</t>
        </is>
      </c>
      <c r="H59" s="88" t="n">
        <v>6750</v>
      </c>
    </row>
    <row r="60">
      <c r="A60" s="87" t="inlineStr">
        <is>
          <t>Fev/26</t>
        </is>
      </c>
      <c r="B60" s="87" t="inlineStr">
        <is>
          <t>15/02/2026</t>
        </is>
      </c>
      <c r="C60" s="87" t="inlineStr">
        <is>
          <t>ADAPTA EDUCACAO LTDA</t>
        </is>
      </c>
      <c r="D60" s="87" t="inlineStr">
        <is>
          <t>AV.4134643529</t>
        </is>
      </c>
      <c r="E60" s="87" t="inlineStr">
        <is>
          <t>89562/4</t>
        </is>
      </c>
      <c r="F60" s="87" t="inlineStr">
        <is>
          <t>Tetus</t>
        </is>
      </c>
      <c r="G60" s="87" t="inlineStr">
        <is>
          <t>Júridico</t>
        </is>
      </c>
      <c r="H60" s="88" t="n">
        <v>575</v>
      </c>
    </row>
    <row r="61">
      <c r="A61" s="87" t="inlineStr">
        <is>
          <t>Fev/26</t>
        </is>
      </c>
      <c r="B61" s="87" t="inlineStr">
        <is>
          <t>04/02/2026</t>
        </is>
      </c>
      <c r="C61" s="87" t="inlineStr">
        <is>
          <t>ASTREA SOFTWARE LTDA</t>
        </is>
      </c>
      <c r="D61" s="87" t="inlineStr">
        <is>
          <t>NF.Men_0126</t>
        </is>
      </c>
      <c r="E61" s="87" t="inlineStr">
        <is>
          <t>98516/1</t>
        </is>
      </c>
      <c r="F61" s="87" t="inlineStr">
        <is>
          <t>Tetus</t>
        </is>
      </c>
      <c r="G61" s="87" t="inlineStr">
        <is>
          <t>Júridico</t>
        </is>
      </c>
      <c r="H61" s="88" t="n">
        <v>150</v>
      </c>
    </row>
    <row r="62">
      <c r="A62" s="87" t="inlineStr">
        <is>
          <t>Fev/26</t>
        </is>
      </c>
      <c r="B62" s="87" t="inlineStr">
        <is>
          <t>04/02/2026</t>
        </is>
      </c>
      <c r="C62" s="87" t="inlineStr">
        <is>
          <t>ASTREA SOFTWARE LTDA</t>
        </is>
      </c>
      <c r="D62" s="87" t="inlineStr">
        <is>
          <t>NF.Men_0126</t>
        </is>
      </c>
      <c r="E62" s="87" t="inlineStr">
        <is>
          <t>98516/1</t>
        </is>
      </c>
      <c r="F62" s="87" t="inlineStr">
        <is>
          <t>Tetus</t>
        </is>
      </c>
      <c r="G62" s="87" t="inlineStr">
        <is>
          <t>Júridico</t>
        </is>
      </c>
      <c r="H62" s="88" t="n">
        <v>1196.28</v>
      </c>
    </row>
    <row r="63">
      <c r="A63" s="87" t="inlineStr">
        <is>
          <t>Fev/26</t>
        </is>
      </c>
      <c r="B63" s="87" t="inlineStr">
        <is>
          <t>10/02/2026</t>
        </is>
      </c>
      <c r="C63" s="87" t="inlineStr">
        <is>
          <t>ASTREA SOFTWARE LTDA</t>
        </is>
      </c>
      <c r="D63" s="87" t="inlineStr">
        <is>
          <t>AV.Anuidade_2026</t>
        </is>
      </c>
      <c r="E63" s="87" t="inlineStr">
        <is>
          <t>114692/1</t>
        </is>
      </c>
      <c r="F63" s="87" t="inlineStr">
        <is>
          <t>Tetus</t>
        </is>
      </c>
      <c r="G63" s="87" t="inlineStr">
        <is>
          <t>Júridico</t>
        </is>
      </c>
      <c r="H63" s="88" t="n">
        <v>4038.84</v>
      </c>
    </row>
    <row r="64">
      <c r="A64" s="87" t="inlineStr">
        <is>
          <t>Fev/26</t>
        </is>
      </c>
      <c r="B64" s="87" t="inlineStr">
        <is>
          <t>01/02/2026</t>
        </is>
      </c>
      <c r="C64" s="87" t="inlineStr">
        <is>
          <t>CARNEIRO RABELO SOCIEDADE INDIVIDUAL DE ADVOCACIA</t>
        </is>
      </c>
      <c r="D64" s="87" t="inlineStr">
        <is>
          <t>NFS.59.</t>
        </is>
      </c>
      <c r="E64" s="87" t="inlineStr">
        <is>
          <t>97679/1</t>
        </is>
      </c>
      <c r="F64" s="87" t="inlineStr">
        <is>
          <t>Tetus</t>
        </is>
      </c>
      <c r="G64" s="87" t="inlineStr">
        <is>
          <t>Júridico</t>
        </is>
      </c>
      <c r="H64" s="88" t="n">
        <v>13954.52</v>
      </c>
    </row>
    <row r="65">
      <c r="A65" s="87" t="inlineStr">
        <is>
          <t>Fev/26</t>
        </is>
      </c>
      <c r="B65" s="87" t="inlineStr">
        <is>
          <t>16/02/2026</t>
        </is>
      </c>
      <c r="C65" s="87" t="inlineStr">
        <is>
          <t>CARNEIRO RABELO SOCIEDADE INDIVIDUAL DE ADVOCACIA</t>
        </is>
      </c>
      <c r="D65" s="87" t="inlineStr">
        <is>
          <t>NFS.60</t>
        </is>
      </c>
      <c r="E65" s="87" t="inlineStr">
        <is>
          <t>98870/1</t>
        </is>
      </c>
      <c r="F65" s="87" t="inlineStr">
        <is>
          <t>Tetus</t>
        </is>
      </c>
      <c r="G65" s="87" t="inlineStr">
        <is>
          <t>Júridico</t>
        </is>
      </c>
      <c r="H65" s="88" t="n">
        <v>9303.01</v>
      </c>
    </row>
    <row r="66">
      <c r="A66" s="87" t="inlineStr">
        <is>
          <t>Fev/26</t>
        </is>
      </c>
      <c r="B66" s="87" t="inlineStr">
        <is>
          <t>24/02/2026</t>
        </is>
      </c>
      <c r="C66" s="87" t="inlineStr">
        <is>
          <t>CLICKSIGN GESTAO DE DOCUMENTOS S/A</t>
        </is>
      </c>
      <c r="D66" s="87" t="inlineStr">
        <is>
          <t>NFS.360826</t>
        </is>
      </c>
      <c r="E66" s="87" t="inlineStr">
        <is>
          <t>99773/1</t>
        </is>
      </c>
      <c r="F66" s="87" t="inlineStr">
        <is>
          <t>Tetus</t>
        </is>
      </c>
      <c r="G66" s="87" t="inlineStr">
        <is>
          <t>Júridico</t>
        </is>
      </c>
      <c r="H66" s="88" t="n">
        <v>389.09</v>
      </c>
    </row>
    <row r="67">
      <c r="A67" s="87" t="inlineStr">
        <is>
          <t>Fev/26</t>
        </is>
      </c>
      <c r="B67" s="87" t="inlineStr">
        <is>
          <t>11/02/2026</t>
        </is>
      </c>
      <c r="C67" s="87" t="inlineStr">
        <is>
          <t>Cristiane Carneiro Rabelo</t>
        </is>
      </c>
      <c r="D67" s="87" t="inlineStr">
        <is>
          <t>CX.04.02.2026</t>
        </is>
      </c>
      <c r="E67" s="87" t="inlineStr">
        <is>
          <t>98818/1</t>
        </is>
      </c>
      <c r="F67" s="87" t="inlineStr">
        <is>
          <t>Tetus</t>
        </is>
      </c>
      <c r="G67" s="87" t="inlineStr">
        <is>
          <t>Júridico</t>
        </is>
      </c>
      <c r="H67" s="88" t="n">
        <v>2297.75</v>
      </c>
    </row>
    <row r="68">
      <c r="A68" s="87" t="inlineStr">
        <is>
          <t>Fev/26</t>
        </is>
      </c>
      <c r="B68" s="87" t="inlineStr">
        <is>
          <t>15/02/2026</t>
        </is>
      </c>
      <c r="C68" s="87" t="inlineStr">
        <is>
          <t>Cristiane Carneiro Rabelo</t>
        </is>
      </c>
      <c r="D68" s="87" t="inlineStr">
        <is>
          <t>CX.MONDAY 10 USUAR</t>
        </is>
      </c>
      <c r="E68" s="87" t="inlineStr">
        <is>
          <t>98618/1</t>
        </is>
      </c>
      <c r="F68" s="87" t="inlineStr">
        <is>
          <t>Tetus</t>
        </is>
      </c>
      <c r="G68" s="87" t="inlineStr">
        <is>
          <t>Júridico</t>
        </is>
      </c>
      <c r="H68" s="88" t="n">
        <v>13768.55</v>
      </c>
    </row>
    <row r="69">
      <c r="A69" s="87" t="inlineStr">
        <is>
          <t>Fev/26</t>
        </is>
      </c>
      <c r="B69" s="87" t="inlineStr">
        <is>
          <t>16/02/2026</t>
        </is>
      </c>
      <c r="C69" s="87" t="inlineStr">
        <is>
          <t>Cristiane Carneiro Rabelo</t>
        </is>
      </c>
      <c r="D69" s="87" t="inlineStr">
        <is>
          <t>CX.06.02.26</t>
        </is>
      </c>
      <c r="E69" s="87" t="inlineStr">
        <is>
          <t>98872/1</t>
        </is>
      </c>
      <c r="F69" s="87" t="inlineStr">
        <is>
          <t>Tetus</t>
        </is>
      </c>
      <c r="G69" s="87" t="inlineStr">
        <is>
          <t>Júridico</t>
        </is>
      </c>
      <c r="H69" s="88" t="n">
        <v>165.32</v>
      </c>
    </row>
    <row r="70">
      <c r="A70" s="87" t="inlineStr">
        <is>
          <t>Fev/26</t>
        </is>
      </c>
      <c r="B70" s="87" t="inlineStr">
        <is>
          <t>07/02/2026</t>
        </is>
      </c>
      <c r="C70" s="87" t="inlineStr">
        <is>
          <t>EDITORA E DISTRIBUIDORA EDUCACIONAL S/A</t>
        </is>
      </c>
      <c r="D70" s="87" t="inlineStr">
        <is>
          <t>AV.MENSALIDADE 26</t>
        </is>
      </c>
      <c r="E70" s="87" t="inlineStr">
        <is>
          <t>94807/2</t>
        </is>
      </c>
      <c r="F70" s="87" t="inlineStr">
        <is>
          <t>Tetus</t>
        </is>
      </c>
      <c r="G70" s="87" t="inlineStr">
        <is>
          <t>Júridico</t>
        </is>
      </c>
      <c r="H70" s="88" t="n">
        <v>219.32</v>
      </c>
    </row>
    <row r="71">
      <c r="A71" s="87" t="inlineStr">
        <is>
          <t>Fev/26</t>
        </is>
      </c>
      <c r="B71" s="87" t="inlineStr">
        <is>
          <t>05/02/2026</t>
        </is>
      </c>
      <c r="C71" s="87" t="inlineStr">
        <is>
          <t>GABRIELLA BRANDÃO VALÉRIO</t>
        </is>
      </c>
      <c r="D71" s="87" t="inlineStr">
        <is>
          <t>AV.Hon 105B Verano</t>
        </is>
      </c>
      <c r="E71" s="87" t="inlineStr">
        <is>
          <t>97276/1</t>
        </is>
      </c>
      <c r="F71" s="87" t="inlineStr">
        <is>
          <t>San Marino</t>
        </is>
      </c>
      <c r="G71" s="87" t="inlineStr">
        <is>
          <t>Júridico</t>
        </is>
      </c>
      <c r="H71" s="88" t="n">
        <v>513.22</v>
      </c>
    </row>
    <row r="72">
      <c r="A72" s="87" t="inlineStr">
        <is>
          <t>Fev/26</t>
        </is>
      </c>
      <c r="B72" s="87" t="inlineStr">
        <is>
          <t>06/02/2026</t>
        </is>
      </c>
      <c r="C72" s="87" t="inlineStr">
        <is>
          <t>GEOVANA CAVALCANTI</t>
        </is>
      </c>
      <c r="D72" s="87" t="inlineStr">
        <is>
          <t>SAL.SAL JANEIRO 2026</t>
        </is>
      </c>
      <c r="E72" s="87" t="inlineStr">
        <is>
          <t>98774/1</t>
        </is>
      </c>
      <c r="F72" s="87" t="inlineStr">
        <is>
          <t>Tetus</t>
        </is>
      </c>
      <c r="G72" s="87" t="inlineStr">
        <is>
          <t>Júridico</t>
        </is>
      </c>
      <c r="H72" s="88" t="n">
        <v>1747</v>
      </c>
    </row>
    <row r="73">
      <c r="A73" s="87" t="inlineStr">
        <is>
          <t>Fev/26</t>
        </is>
      </c>
      <c r="B73" s="87" t="inlineStr">
        <is>
          <t>20/02/2026</t>
        </is>
      </c>
      <c r="C73" s="87" t="inlineStr">
        <is>
          <t>GEOVANA CAVALCANTI</t>
        </is>
      </c>
      <c r="D73" s="87" t="inlineStr">
        <is>
          <t>SAL.VALE FEVEREIRO 26</t>
        </is>
      </c>
      <c r="E73" s="87" t="inlineStr">
        <is>
          <t>99847/1</t>
        </is>
      </c>
      <c r="F73" s="87" t="inlineStr">
        <is>
          <t>Tetus</t>
        </is>
      </c>
      <c r="G73" s="87" t="inlineStr">
        <is>
          <t>Júridico</t>
        </is>
      </c>
      <c r="H73" s="88" t="n">
        <v>1155</v>
      </c>
    </row>
    <row r="74">
      <c r="A74" s="87" t="inlineStr">
        <is>
          <t>Fev/26</t>
        </is>
      </c>
      <c r="B74" s="87" t="inlineStr">
        <is>
          <t>26/02/2026</t>
        </is>
      </c>
      <c r="C74" s="87" t="inlineStr">
        <is>
          <t>JUNTA COMERCIAL DO ESTADO DE SAO PAULO</t>
        </is>
      </c>
      <c r="D74" s="87" t="inlineStr">
        <is>
          <t>AV.GUIA_VSRA</t>
        </is>
      </c>
      <c r="E74" s="87" t="inlineStr">
        <is>
          <t>100234/1</t>
        </is>
      </c>
      <c r="F74" s="87" t="inlineStr">
        <is>
          <t>Tetus</t>
        </is>
      </c>
      <c r="G74" s="87" t="inlineStr">
        <is>
          <t>Júridico</t>
        </is>
      </c>
      <c r="H74" s="88" t="n">
        <v>73</v>
      </c>
    </row>
    <row r="75">
      <c r="A75" s="87" t="inlineStr">
        <is>
          <t>Fev/26</t>
        </is>
      </c>
      <c r="B75" s="87" t="inlineStr">
        <is>
          <t>18/02/2026</t>
        </is>
      </c>
      <c r="C75" s="87" t="inlineStr">
        <is>
          <t>LIMA E BERNARDES SOCIEDADE DE ADVOGADOS</t>
        </is>
      </c>
      <c r="D75" s="87" t="inlineStr">
        <is>
          <t>AV.Acor. V.Lino 37 Vita</t>
        </is>
      </c>
      <c r="E75" s="87" t="inlineStr">
        <is>
          <t>86190/6</t>
        </is>
      </c>
      <c r="F75" s="87" t="inlineStr">
        <is>
          <t>FGV</t>
        </is>
      </c>
      <c r="G75" s="87" t="inlineStr">
        <is>
          <t>Júridico</t>
        </is>
      </c>
      <c r="H75" s="88" t="n">
        <v>3370.84</v>
      </c>
    </row>
    <row r="76">
      <c r="A76" s="87" t="inlineStr">
        <is>
          <t>Fev/26</t>
        </is>
      </c>
      <c r="B76" s="87" t="inlineStr">
        <is>
          <t>04/02/2026</t>
        </is>
      </c>
      <c r="C76" s="87" t="inlineStr">
        <is>
          <t>LOCAWEB SERVICOS DE INTERNET S/A</t>
        </is>
      </c>
      <c r="D76" s="87" t="inlineStr">
        <is>
          <t>AV.04.02.26</t>
        </is>
      </c>
      <c r="E76" s="87" t="inlineStr">
        <is>
          <t>98500/1</t>
        </is>
      </c>
      <c r="F76" s="87" t="inlineStr">
        <is>
          <t>Tetus</t>
        </is>
      </c>
      <c r="G76" s="87" t="inlineStr">
        <is>
          <t>T.I</t>
        </is>
      </c>
      <c r="H76" s="88" t="n">
        <v>26.67</v>
      </c>
    </row>
    <row r="77">
      <c r="A77" s="87" t="inlineStr">
        <is>
          <t>Fev/26</t>
        </is>
      </c>
      <c r="B77" s="87" t="inlineStr">
        <is>
          <t>15/02/2026</t>
        </is>
      </c>
      <c r="C77" s="87" t="inlineStr">
        <is>
          <t>LOCAWEB SERVICOS DE INTERNET S/A</t>
        </is>
      </c>
      <c r="D77" s="87" t="inlineStr">
        <is>
          <t>AV.12.02.26 LCW</t>
        </is>
      </c>
      <c r="E77" s="87" t="inlineStr">
        <is>
          <t>99336/1</t>
        </is>
      </c>
      <c r="F77" s="87" t="inlineStr">
        <is>
          <t>Tetus</t>
        </is>
      </c>
      <c r="G77" s="87" t="inlineStr">
        <is>
          <t>T.I</t>
        </is>
      </c>
      <c r="H77" s="88" t="n">
        <v>72.58</v>
      </c>
    </row>
    <row r="78">
      <c r="A78" s="87" t="inlineStr">
        <is>
          <t>Fev/26</t>
        </is>
      </c>
      <c r="B78" s="87" t="inlineStr">
        <is>
          <t>04/02/2026</t>
        </is>
      </c>
      <c r="C78" s="87" t="inlineStr">
        <is>
          <t>MICHELE DE OLIVEIRA SILVA</t>
        </is>
      </c>
      <c r="D78" s="87" t="inlineStr">
        <is>
          <t>HON.HON_909A TAMIRIS</t>
        </is>
      </c>
      <c r="E78" s="87" t="inlineStr">
        <is>
          <t>59781/14</t>
        </is>
      </c>
      <c r="F78" s="87" t="inlineStr">
        <is>
          <t>Padre Eugênio</t>
        </is>
      </c>
      <c r="G78" s="87" t="inlineStr">
        <is>
          <t>Júridico</t>
        </is>
      </c>
      <c r="H78" s="88" t="n">
        <v>66.06</v>
      </c>
    </row>
    <row r="79">
      <c r="A79" s="87" t="inlineStr">
        <is>
          <t>Fev/26</t>
        </is>
      </c>
      <c r="B79" s="87" t="inlineStr">
        <is>
          <t>04/02/2026</t>
        </is>
      </c>
      <c r="C79" s="87" t="inlineStr">
        <is>
          <t>MICHELE DE OLIVEIRA SILVA</t>
        </is>
      </c>
      <c r="D79" s="87" t="inlineStr">
        <is>
          <t>AV.HON_1310A</t>
        </is>
      </c>
      <c r="E79" s="87" t="inlineStr">
        <is>
          <t>81462/7</t>
        </is>
      </c>
      <c r="F79" s="87" t="inlineStr">
        <is>
          <t>Padre Eugênio</t>
        </is>
      </c>
      <c r="G79" s="87" t="inlineStr">
        <is>
          <t>Júridico</t>
        </is>
      </c>
      <c r="H79" s="88" t="n">
        <v>144.34</v>
      </c>
    </row>
    <row r="80">
      <c r="A80" s="87" t="inlineStr">
        <is>
          <t>Fev/26</t>
        </is>
      </c>
      <c r="B80" s="87" t="inlineStr">
        <is>
          <t>04/02/2026</t>
        </is>
      </c>
      <c r="C80" s="87" t="inlineStr">
        <is>
          <t>MICHELE DE OLIVEIRA SILVA</t>
        </is>
      </c>
      <c r="D80" s="87" t="inlineStr">
        <is>
          <t>AV.HON_802A</t>
        </is>
      </c>
      <c r="E80" s="87" t="inlineStr">
        <is>
          <t>89206/4</t>
        </is>
      </c>
      <c r="F80" s="87" t="inlineStr">
        <is>
          <t>Padre Eugênio</t>
        </is>
      </c>
      <c r="G80" s="87" t="inlineStr">
        <is>
          <t>Júridico</t>
        </is>
      </c>
      <c r="H80" s="88" t="n">
        <v>116.62</v>
      </c>
    </row>
    <row r="81">
      <c r="A81" s="87" t="inlineStr">
        <is>
          <t>Fev/26</t>
        </is>
      </c>
      <c r="B81" s="87" t="inlineStr">
        <is>
          <t>04/02/2026</t>
        </is>
      </c>
      <c r="C81" s="87" t="inlineStr">
        <is>
          <t>MICHELE DE OLIVEIRA SILVA</t>
        </is>
      </c>
      <c r="D81" s="87" t="inlineStr">
        <is>
          <t>AV.HONORARIOS_1008B</t>
        </is>
      </c>
      <c r="E81" s="87" t="inlineStr">
        <is>
          <t>92298/3</t>
        </is>
      </c>
      <c r="F81" s="87" t="inlineStr">
        <is>
          <t>Padre Eugênio</t>
        </is>
      </c>
      <c r="G81" s="87" t="inlineStr">
        <is>
          <t>Júridico</t>
        </is>
      </c>
      <c r="H81" s="88" t="n">
        <v>42.28</v>
      </c>
    </row>
    <row r="82">
      <c r="A82" s="87" t="inlineStr">
        <is>
          <t>Fev/26</t>
        </is>
      </c>
      <c r="B82" s="87" t="inlineStr">
        <is>
          <t>04/02/2026</t>
        </is>
      </c>
      <c r="C82" s="87" t="inlineStr">
        <is>
          <t>MICHELE DE OLIVEIRA SILVA</t>
        </is>
      </c>
      <c r="D82" s="87" t="inlineStr">
        <is>
          <t>AV.HONORARIOS 806A</t>
        </is>
      </c>
      <c r="E82" s="87" t="inlineStr">
        <is>
          <t>94835/1</t>
        </is>
      </c>
      <c r="F82" s="87" t="inlineStr">
        <is>
          <t>Padre Eugênio</t>
        </is>
      </c>
      <c r="G82" s="87" t="inlineStr">
        <is>
          <t>Júridico</t>
        </is>
      </c>
      <c r="H82" s="88" t="n">
        <v>90.03</v>
      </c>
    </row>
    <row r="83">
      <c r="A83" s="87" t="inlineStr">
        <is>
          <t>Fev/26</t>
        </is>
      </c>
      <c r="B83" s="87" t="inlineStr">
        <is>
          <t>05/02/2026</t>
        </is>
      </c>
      <c r="C83" s="87" t="inlineStr">
        <is>
          <t>MICHELE DE OLIVEIRA SILVA</t>
        </is>
      </c>
      <c r="D83" s="87" t="inlineStr">
        <is>
          <t>AV.HON. 304C VERANO</t>
        </is>
      </c>
      <c r="E83" s="87" t="inlineStr">
        <is>
          <t>78609/9</t>
        </is>
      </c>
      <c r="F83" s="87" t="inlineStr">
        <is>
          <t>San Marino</t>
        </is>
      </c>
      <c r="G83" s="87" t="inlineStr">
        <is>
          <t>Júridico</t>
        </is>
      </c>
      <c r="H83" s="88" t="n">
        <v>234.31</v>
      </c>
    </row>
    <row r="84">
      <c r="A84" s="87" t="inlineStr">
        <is>
          <t>Fev/26</t>
        </is>
      </c>
      <c r="B84" s="87" t="inlineStr">
        <is>
          <t>05/02/2026</t>
        </is>
      </c>
      <c r="C84" s="87" t="inlineStr">
        <is>
          <t>MICHELE DE OLIVEIRA SILVA</t>
        </is>
      </c>
      <c r="D84" s="87" t="inlineStr">
        <is>
          <t>HON.HON. PROCESSO 1404B</t>
        </is>
      </c>
      <c r="E84" s="87" t="inlineStr">
        <is>
          <t>95170/4</t>
        </is>
      </c>
      <c r="F84" s="87" t="inlineStr">
        <is>
          <t>San Marino</t>
        </is>
      </c>
      <c r="G84" s="87" t="inlineStr">
        <is>
          <t>Júridico</t>
        </is>
      </c>
      <c r="H84" s="88" t="n">
        <v>199.12</v>
      </c>
    </row>
    <row r="85">
      <c r="A85" s="87" t="inlineStr">
        <is>
          <t>Fev/26</t>
        </is>
      </c>
      <c r="B85" s="87" t="inlineStr">
        <is>
          <t>04/02/2026</t>
        </is>
      </c>
      <c r="C85" s="87" t="inlineStr">
        <is>
          <t>MICHELE DE OLIVEIRA SILVA</t>
        </is>
      </c>
      <c r="D85" s="87" t="inlineStr">
        <is>
          <t>AV.Acord. Hon Michele</t>
        </is>
      </c>
      <c r="E85" s="87" t="inlineStr">
        <is>
          <t>86191/5</t>
        </is>
      </c>
      <c r="F85" s="87" t="inlineStr">
        <is>
          <t>FGV</t>
        </is>
      </c>
      <c r="G85" s="87" t="inlineStr">
        <is>
          <t>Júridico</t>
        </is>
      </c>
      <c r="H85" s="88" t="n">
        <v>390.11</v>
      </c>
    </row>
    <row r="86">
      <c r="A86" s="87" t="inlineStr">
        <is>
          <t>Fev/26</t>
        </is>
      </c>
      <c r="B86" s="87" t="inlineStr">
        <is>
          <t>05/02/2026</t>
        </is>
      </c>
      <c r="C86" s="87" t="inlineStr">
        <is>
          <t>MICHELE DE OLIVEIRA SILVA</t>
        </is>
      </c>
      <c r="D86" s="87" t="inlineStr">
        <is>
          <t>REC.RecibosMichele_2026</t>
        </is>
      </c>
      <c r="E86" s="87" t="inlineStr">
        <is>
          <t>96274/2</t>
        </is>
      </c>
      <c r="F86" s="87" t="inlineStr">
        <is>
          <t>Tetus</t>
        </is>
      </c>
      <c r="G86" s="87" t="inlineStr">
        <is>
          <t>Júridico</t>
        </is>
      </c>
      <c r="H86" s="88" t="n">
        <v>2750</v>
      </c>
    </row>
    <row r="87">
      <c r="A87" s="87" t="inlineStr">
        <is>
          <t>Fev/26</t>
        </is>
      </c>
      <c r="B87" s="87" t="inlineStr">
        <is>
          <t>23/02/2026</t>
        </is>
      </c>
      <c r="C87" s="87" t="inlineStr">
        <is>
          <t>MIGUEL CLEPF PASSOS</t>
        </is>
      </c>
      <c r="D87" s="87" t="inlineStr">
        <is>
          <t>AV.Audiência 502 B Auro</t>
        </is>
      </c>
      <c r="E87" s="87" t="inlineStr">
        <is>
          <t>99405/1</t>
        </is>
      </c>
      <c r="F87" s="87" t="inlineStr">
        <is>
          <t>Padre Eugênio</t>
        </is>
      </c>
      <c r="G87" s="87" t="inlineStr">
        <is>
          <t>Júridico</t>
        </is>
      </c>
      <c r="H87" s="88" t="n">
        <v>156.05</v>
      </c>
    </row>
    <row r="88">
      <c r="A88" s="87" t="inlineStr">
        <is>
          <t>Fev/26</t>
        </is>
      </c>
      <c r="B88" s="87" t="inlineStr">
        <is>
          <t>15/02/2026</t>
        </is>
      </c>
      <c r="C88" s="87" t="inlineStr">
        <is>
          <t>OPENAI BRAZIL LIMITADA</t>
        </is>
      </c>
      <c r="D88" s="87" t="inlineStr">
        <is>
          <t>AV.CHATGPT JUR 2026</t>
        </is>
      </c>
      <c r="E88" s="87" t="inlineStr">
        <is>
          <t>95104/2</t>
        </is>
      </c>
      <c r="F88" s="87" t="inlineStr">
        <is>
          <t>Tetus</t>
        </is>
      </c>
      <c r="G88" s="87" t="inlineStr">
        <is>
          <t>T.I</t>
        </is>
      </c>
      <c r="H88" s="88" t="n">
        <v>234.46</v>
      </c>
    </row>
    <row r="89">
      <c r="A89" s="87" t="inlineStr">
        <is>
          <t>Fev/26</t>
        </is>
      </c>
      <c r="B89" s="87" t="inlineStr">
        <is>
          <t>11/02/2026</t>
        </is>
      </c>
      <c r="C89" s="87" t="inlineStr">
        <is>
          <t>OPERADOR NACIONAL DO SISTEMA DE REGISTRO ELETRONICO DE IMOVEIS ( ONR )</t>
        </is>
      </c>
      <c r="D89" s="87" t="inlineStr">
        <is>
          <t>AV.REG PAD EUG 01.25</t>
        </is>
      </c>
      <c r="E89" s="87" t="inlineStr">
        <is>
          <t>96116/2</t>
        </is>
      </c>
      <c r="F89" s="87" t="inlineStr">
        <is>
          <t>Padre Eugênio</t>
        </is>
      </c>
      <c r="G89" s="87" t="inlineStr">
        <is>
          <t>Júridico</t>
        </is>
      </c>
      <c r="H89" s="88" t="n">
        <v>500.45</v>
      </c>
    </row>
    <row r="90">
      <c r="A90" s="87" t="inlineStr">
        <is>
          <t>Fev/26</t>
        </is>
      </c>
      <c r="B90" s="87" t="inlineStr">
        <is>
          <t>11/02/2026</t>
        </is>
      </c>
      <c r="C90" s="87" t="inlineStr">
        <is>
          <t>OPERADOR NACIONAL DO SISTEMA DE REGISTRO ELETRONICO DE IMOVEIS ( ONR )</t>
        </is>
      </c>
      <c r="D90" s="87" t="inlineStr">
        <is>
          <t>BOL.Registradores_1102</t>
        </is>
      </c>
      <c r="E90" s="87" t="inlineStr">
        <is>
          <t>102395/1</t>
        </is>
      </c>
      <c r="F90" s="87" t="inlineStr">
        <is>
          <t>Tetus</t>
        </is>
      </c>
      <c r="G90" s="87" t="inlineStr">
        <is>
          <t>Júridico</t>
        </is>
      </c>
      <c r="H90" s="88" t="n">
        <v>1000</v>
      </c>
    </row>
    <row r="91">
      <c r="A91" s="87" t="inlineStr">
        <is>
          <t>Fev/26</t>
        </is>
      </c>
      <c r="B91" s="87" t="inlineStr">
        <is>
          <t>18/02/2026</t>
        </is>
      </c>
      <c r="C91" s="87" t="inlineStr">
        <is>
          <t>PAULO ROBERTO DE SOUZA 03565732652</t>
        </is>
      </c>
      <c r="D91" s="87" t="inlineStr">
        <is>
          <t>NFS.230</t>
        </is>
      </c>
      <c r="E91" s="87" t="inlineStr">
        <is>
          <t>99634/1</t>
        </is>
      </c>
      <c r="F91" s="87" t="inlineStr">
        <is>
          <t>Padre Eugênio</t>
        </is>
      </c>
      <c r="G91" s="87" t="inlineStr">
        <is>
          <t>Júridico</t>
        </is>
      </c>
      <c r="H91" s="88" t="n">
        <v>230</v>
      </c>
    </row>
    <row r="92">
      <c r="A92" s="87" t="inlineStr">
        <is>
          <t>Fev/26</t>
        </is>
      </c>
      <c r="B92" s="87" t="inlineStr">
        <is>
          <t>13/02/2026</t>
        </is>
      </c>
      <c r="C92" s="87" t="inlineStr">
        <is>
          <t>PAULO ROBERTO DE SOUZA 03565732652</t>
        </is>
      </c>
      <c r="D92" s="87" t="inlineStr">
        <is>
          <t>NFS.232</t>
        </is>
      </c>
      <c r="E92" s="87" t="inlineStr">
        <is>
          <t>98515/1</t>
        </is>
      </c>
      <c r="F92" s="87" t="inlineStr">
        <is>
          <t>FGV</t>
        </is>
      </c>
      <c r="G92" s="87" t="inlineStr">
        <is>
          <t>Júridico</t>
        </is>
      </c>
      <c r="H92" s="88" t="n">
        <v>80</v>
      </c>
    </row>
    <row r="93">
      <c r="A93" s="87" t="inlineStr">
        <is>
          <t>Fev/26</t>
        </is>
      </c>
      <c r="B93" s="87" t="inlineStr">
        <is>
          <t>06/02/2026</t>
        </is>
      </c>
      <c r="C93" s="87" t="inlineStr">
        <is>
          <t>SAO PAULO TRIBUNAL DE JUSTICA</t>
        </is>
      </c>
      <c r="D93" s="87" t="inlineStr">
        <is>
          <t>AV.Apel. 302 B Aurora</t>
        </is>
      </c>
      <c r="E93" s="87" t="inlineStr">
        <is>
          <t>98514/1</t>
        </is>
      </c>
      <c r="F93" s="87" t="inlineStr">
        <is>
          <t>Padre Eugênio</t>
        </is>
      </c>
      <c r="G93" s="87" t="inlineStr">
        <is>
          <t>Júridico</t>
        </is>
      </c>
      <c r="H93" s="88" t="n">
        <v>105.32</v>
      </c>
    </row>
    <row r="94">
      <c r="A94" s="87" t="inlineStr">
        <is>
          <t>Fev/26</t>
        </is>
      </c>
      <c r="B94" s="87" t="inlineStr">
        <is>
          <t>06/02/2026</t>
        </is>
      </c>
      <c r="C94" s="87" t="inlineStr">
        <is>
          <t>SAO PAULO TRIBUNAL DE JUSTICA</t>
        </is>
      </c>
      <c r="D94" s="87" t="inlineStr">
        <is>
          <t>AV.Apel. 102 B Aurora</t>
        </is>
      </c>
      <c r="E94" s="87" t="inlineStr">
        <is>
          <t>98518/1</t>
        </is>
      </c>
      <c r="F94" s="87" t="inlineStr">
        <is>
          <t>Padre Eugênio</t>
        </is>
      </c>
      <c r="G94" s="87" t="inlineStr">
        <is>
          <t>Júridico</t>
        </is>
      </c>
      <c r="H94" s="88" t="n">
        <v>246.82</v>
      </c>
    </row>
    <row r="95">
      <c r="A95" s="87" t="inlineStr">
        <is>
          <t>Fev/26</t>
        </is>
      </c>
      <c r="B95" s="87" t="inlineStr">
        <is>
          <t>18/02/2026</t>
        </is>
      </c>
      <c r="C95" s="87" t="inlineStr">
        <is>
          <t>SAO PAULO TRIBUNAL DE JUSTICA</t>
        </is>
      </c>
      <c r="D95" s="87" t="inlineStr">
        <is>
          <t>AV.Exec. 1005 A Aur</t>
        </is>
      </c>
      <c r="E95" s="87" t="inlineStr">
        <is>
          <t>101780/1</t>
        </is>
      </c>
      <c r="F95" s="87" t="inlineStr">
        <is>
          <t>Padre Eugênio</t>
        </is>
      </c>
      <c r="G95" s="87" t="inlineStr">
        <is>
          <t>Júridico</t>
        </is>
      </c>
      <c r="H95" s="88" t="n">
        <v>1200.05</v>
      </c>
    </row>
    <row r="96">
      <c r="A96" s="87" t="inlineStr">
        <is>
          <t>Fev/26</t>
        </is>
      </c>
      <c r="B96" s="87" t="inlineStr">
        <is>
          <t>24/02/2026</t>
        </is>
      </c>
      <c r="C96" s="87" t="inlineStr">
        <is>
          <t>SAO PAULO TRIBUNAL DE JUSTICA</t>
        </is>
      </c>
      <c r="D96" s="87" t="inlineStr">
        <is>
          <t>AV.1009A_A</t>
        </is>
      </c>
      <c r="E96" s="87" t="inlineStr">
        <is>
          <t>98983/1</t>
        </is>
      </c>
      <c r="F96" s="87" t="inlineStr">
        <is>
          <t>Padre Eugênio</t>
        </is>
      </c>
      <c r="G96" s="87" t="inlineStr">
        <is>
          <t>Júridico</t>
        </is>
      </c>
      <c r="H96" s="88" t="n">
        <v>152.28</v>
      </c>
    </row>
    <row r="97">
      <c r="A97" s="87" t="inlineStr">
        <is>
          <t>Fev/26</t>
        </is>
      </c>
      <c r="B97" s="87" t="inlineStr">
        <is>
          <t>02/02/2026</t>
        </is>
      </c>
      <c r="C97" s="87" t="inlineStr">
        <is>
          <t>SAO PAULO TRIBUNAL DE JUSTICA</t>
        </is>
      </c>
      <c r="D97" s="87" t="inlineStr">
        <is>
          <t>AV.Guia301B inicial</t>
        </is>
      </c>
      <c r="E97" s="87" t="inlineStr">
        <is>
          <t>98354/1</t>
        </is>
      </c>
      <c r="F97" s="87" t="inlineStr">
        <is>
          <t>San Marino</t>
        </is>
      </c>
      <c r="G97" s="87" t="inlineStr">
        <is>
          <t>Júridico</t>
        </is>
      </c>
      <c r="H97" s="88" t="n">
        <v>1741.5</v>
      </c>
    </row>
    <row r="98">
      <c r="A98" s="87" t="inlineStr">
        <is>
          <t>Fev/26</t>
        </is>
      </c>
      <c r="B98" s="87" t="inlineStr">
        <is>
          <t>09/02/2026</t>
        </is>
      </c>
      <c r="C98" s="87" t="inlineStr">
        <is>
          <t>SAO PAULO TRIBUNAL DE JUSTICA</t>
        </is>
      </c>
      <c r="D98" s="87" t="inlineStr">
        <is>
          <t>AV.Execução 301 B Veran</t>
        </is>
      </c>
      <c r="E98" s="87" t="inlineStr">
        <is>
          <t>98271/1</t>
        </is>
      </c>
      <c r="F98" s="87" t="inlineStr">
        <is>
          <t>San Marino</t>
        </is>
      </c>
      <c r="G98" s="87" t="inlineStr">
        <is>
          <t>Júridico</t>
        </is>
      </c>
      <c r="H98" s="88" t="n">
        <v>1100</v>
      </c>
    </row>
    <row r="99">
      <c r="A99" s="87" t="inlineStr">
        <is>
          <t>Fev/26</t>
        </is>
      </c>
      <c r="B99" s="87" t="inlineStr">
        <is>
          <t>09/02/2026</t>
        </is>
      </c>
      <c r="C99" s="87" t="inlineStr">
        <is>
          <t>SAO PAULO TRIBUNAL DE JUSTICA</t>
        </is>
      </c>
      <c r="D99" s="87" t="inlineStr">
        <is>
          <t>AV.Intim. 301 B Verano</t>
        </is>
      </c>
      <c r="E99" s="87" t="inlineStr">
        <is>
          <t>98925/1</t>
        </is>
      </c>
      <c r="F99" s="87" t="inlineStr">
        <is>
          <t>San Marino</t>
        </is>
      </c>
      <c r="G99" s="87" t="inlineStr">
        <is>
          <t>Júridico</t>
        </is>
      </c>
      <c r="H99" s="88" t="n">
        <v>34.35</v>
      </c>
    </row>
    <row r="100">
      <c r="A100" s="87" t="inlineStr">
        <is>
          <t>Fev/26</t>
        </is>
      </c>
      <c r="B100" s="87" t="inlineStr">
        <is>
          <t>23/02/2026</t>
        </is>
      </c>
      <c r="C100" s="87" t="inlineStr">
        <is>
          <t>SAO PAULO TRIBUNAL DE JUSTICA</t>
        </is>
      </c>
      <c r="D100" s="87" t="inlineStr">
        <is>
          <t>AV.Guia inicial_301B</t>
        </is>
      </c>
      <c r="E100" s="87" t="inlineStr">
        <is>
          <t>100633/1</t>
        </is>
      </c>
      <c r="F100" s="87" t="inlineStr">
        <is>
          <t>San Marino</t>
        </is>
      </c>
      <c r="G100" s="87" t="inlineStr">
        <is>
          <t>Júridico</t>
        </is>
      </c>
      <c r="H100" s="88" t="n">
        <v>1659.15</v>
      </c>
    </row>
    <row r="101">
      <c r="A101" s="87" t="inlineStr">
        <is>
          <t>Fev/26</t>
        </is>
      </c>
      <c r="B101" s="87" t="inlineStr">
        <is>
          <t>12/02/2026</t>
        </is>
      </c>
      <c r="C101" s="87" t="inlineStr">
        <is>
          <t>SAO PAULO TRIBUNAL DE JUSTICA</t>
        </is>
      </c>
      <c r="D101" s="87" t="inlineStr">
        <is>
          <t>AV.802B_V</t>
        </is>
      </c>
      <c r="E101" s="87" t="inlineStr">
        <is>
          <t>98349/1</t>
        </is>
      </c>
      <c r="F101" s="87" t="inlineStr">
        <is>
          <t>San Marino</t>
        </is>
      </c>
      <c r="G101" s="87" t="inlineStr">
        <is>
          <t>Júridico</t>
        </is>
      </c>
      <c r="H101" s="88" t="n">
        <v>115.26</v>
      </c>
    </row>
    <row r="102">
      <c r="A102" s="87" t="inlineStr">
        <is>
          <t>Fev/26</t>
        </is>
      </c>
      <c r="B102" s="87" t="inlineStr">
        <is>
          <t>24/02/2026</t>
        </is>
      </c>
      <c r="C102" s="87" t="inlineStr">
        <is>
          <t>SAO PAULO TRIBUNAL DE JUSTICA</t>
        </is>
      </c>
      <c r="D102" s="87" t="inlineStr">
        <is>
          <t>AV.102B_SM</t>
        </is>
      </c>
      <c r="E102" s="87" t="inlineStr">
        <is>
          <t>98982/1</t>
        </is>
      </c>
      <c r="F102" s="87" t="inlineStr">
        <is>
          <t>San Marino</t>
        </is>
      </c>
      <c r="G102" s="87" t="inlineStr">
        <is>
          <t>Júridico</t>
        </is>
      </c>
      <c r="H102" s="88" t="n">
        <v>115.25</v>
      </c>
    </row>
    <row r="103">
      <c r="A103" s="87" t="inlineStr">
        <is>
          <t>Fev/26</t>
        </is>
      </c>
      <c r="B103" s="87" t="inlineStr">
        <is>
          <t>03/02/2026</t>
        </is>
      </c>
      <c r="C103" s="87" t="inlineStr">
        <is>
          <t>SAO PAULO TRIBUNAL DE JUSTICA</t>
        </is>
      </c>
      <c r="D103" s="87" t="inlineStr">
        <is>
          <t>AV.Exec 47 Vita Village</t>
        </is>
      </c>
      <c r="E103" s="87" t="inlineStr">
        <is>
          <t>97447/1</t>
        </is>
      </c>
      <c r="F103" s="87" t="inlineStr">
        <is>
          <t>FGV</t>
        </is>
      </c>
      <c r="G103" s="87" t="inlineStr">
        <is>
          <t>Júridico</t>
        </is>
      </c>
      <c r="H103" s="88" t="n">
        <v>1428.24</v>
      </c>
    </row>
    <row r="104">
      <c r="A104" s="87" t="inlineStr">
        <is>
          <t>Fev/26</t>
        </is>
      </c>
      <c r="B104" s="87" t="inlineStr">
        <is>
          <t>04/02/2026</t>
        </is>
      </c>
      <c r="C104" s="87" t="inlineStr">
        <is>
          <t>SERASA S.A.</t>
        </is>
      </c>
      <c r="D104" s="87" t="inlineStr">
        <is>
          <t>NFS.53156</t>
        </is>
      </c>
      <c r="E104" s="87" t="inlineStr">
        <is>
          <t>98019/1</t>
        </is>
      </c>
      <c r="F104" s="87" t="inlineStr">
        <is>
          <t>Tetus</t>
        </is>
      </c>
      <c r="G104" s="87" t="inlineStr">
        <is>
          <t>Júridico</t>
        </is>
      </c>
      <c r="H104" s="88" t="n">
        <v>1515.09</v>
      </c>
    </row>
    <row r="105">
      <c r="A105" s="87" t="inlineStr">
        <is>
          <t>Fev/26</t>
        </is>
      </c>
      <c r="B105" s="87" t="inlineStr">
        <is>
          <t>04/02/2026</t>
        </is>
      </c>
      <c r="C105" s="87" t="inlineStr">
        <is>
          <t>SERASA S.A.</t>
        </is>
      </c>
      <c r="D105" s="87" t="inlineStr">
        <is>
          <t>NFS.48245</t>
        </is>
      </c>
      <c r="E105" s="87" t="inlineStr">
        <is>
          <t>98026/1</t>
        </is>
      </c>
      <c r="F105" s="87" t="inlineStr">
        <is>
          <t>Tetus</t>
        </is>
      </c>
      <c r="G105" s="87" t="inlineStr">
        <is>
          <t>Júridico</t>
        </is>
      </c>
      <c r="H105" s="88" t="n">
        <v>11.7</v>
      </c>
    </row>
    <row r="106">
      <c r="A106" s="87" t="inlineStr">
        <is>
          <t>Fev/26</t>
        </is>
      </c>
      <c r="B106" s="87" t="inlineStr">
        <is>
          <t>25/02/2026</t>
        </is>
      </c>
      <c r="C106" s="87" t="inlineStr">
        <is>
          <t>SERASA S.A.</t>
        </is>
      </c>
      <c r="D106" s="87" t="inlineStr">
        <is>
          <t>NFS.220319</t>
        </is>
      </c>
      <c r="E106" s="87" t="inlineStr">
        <is>
          <t>100206/1</t>
        </is>
      </c>
      <c r="F106" s="87" t="inlineStr">
        <is>
          <t>Tetus</t>
        </is>
      </c>
      <c r="G106" s="87" t="inlineStr">
        <is>
          <t>Júridico</t>
        </is>
      </c>
      <c r="H106" s="88" t="n">
        <v>1480.55</v>
      </c>
    </row>
    <row r="107">
      <c r="A107" s="87" t="inlineStr">
        <is>
          <t>Fev/26</t>
        </is>
      </c>
      <c r="B107" s="87" t="inlineStr">
        <is>
          <t>25/02/2026</t>
        </is>
      </c>
      <c r="C107" s="87" t="inlineStr">
        <is>
          <t>SERASA S.A.</t>
        </is>
      </c>
      <c r="D107" s="87" t="inlineStr">
        <is>
          <t>NFS.218170</t>
        </is>
      </c>
      <c r="E107" s="87" t="inlineStr">
        <is>
          <t>100212/1</t>
        </is>
      </c>
      <c r="F107" s="87" t="inlineStr">
        <is>
          <t>Tetus</t>
        </is>
      </c>
      <c r="G107" s="87" t="inlineStr">
        <is>
          <t>Júridico</t>
        </is>
      </c>
      <c r="H107" s="88" t="n">
        <v>11.43</v>
      </c>
    </row>
    <row r="108">
      <c r="A108" s="87" t="inlineStr">
        <is>
          <t>Fev/26</t>
        </is>
      </c>
      <c r="B108" s="87" t="inlineStr">
        <is>
          <t>27/02/2026</t>
        </is>
      </c>
      <c r="C108" s="87" t="inlineStr">
        <is>
          <t>TAUBATE CARTORIO DE REGISTRO CIVIL E TABELIONATO DE QUIRIRIM</t>
        </is>
      </c>
      <c r="D108" s="87" t="inlineStr">
        <is>
          <t>FAT.01 26</t>
        </is>
      </c>
      <c r="E108" s="87" t="inlineStr">
        <is>
          <t>99937/1</t>
        </is>
      </c>
      <c r="F108" s="87" t="inlineStr">
        <is>
          <t>Tetus</t>
        </is>
      </c>
      <c r="G108" s="87" t="inlineStr">
        <is>
          <t>Júridico</t>
        </is>
      </c>
      <c r="H108" s="88" t="n">
        <v>23.58</v>
      </c>
    </row>
    <row r="109">
      <c r="A109" s="87" t="inlineStr">
        <is>
          <t>Fev/26</t>
        </is>
      </c>
      <c r="B109" s="87" t="inlineStr">
        <is>
          <t>24/02/2026</t>
        </is>
      </c>
      <c r="C109" s="87" t="inlineStr">
        <is>
          <t>TELEFONICA BRASIL S.A.</t>
        </is>
      </c>
      <c r="D109" s="87" t="inlineStr">
        <is>
          <t>FAT.3575377</t>
        </is>
      </c>
      <c r="E109" s="87" t="inlineStr">
        <is>
          <t>100172/1</t>
        </is>
      </c>
      <c r="F109" s="87" t="inlineStr">
        <is>
          <t>Tetus</t>
        </is>
      </c>
      <c r="G109" s="87" t="inlineStr">
        <is>
          <t>T.I</t>
        </is>
      </c>
      <c r="H109" s="88" t="n">
        <v>52.32</v>
      </c>
    </row>
    <row r="110">
      <c r="A110" s="87" t="inlineStr">
        <is>
          <t>Fev/26</t>
        </is>
      </c>
      <c r="B110" s="87" t="inlineStr">
        <is>
          <t>24/02/2026</t>
        </is>
      </c>
      <c r="C110" s="87" t="inlineStr">
        <is>
          <t>TELEFONICA BRASIL S.A.</t>
        </is>
      </c>
      <c r="D110" s="87" t="inlineStr">
        <is>
          <t>FAT.5290953</t>
        </is>
      </c>
      <c r="E110" s="87" t="inlineStr">
        <is>
          <t>100173/1</t>
        </is>
      </c>
      <c r="F110" s="87" t="inlineStr">
        <is>
          <t>Tetus</t>
        </is>
      </c>
      <c r="G110" s="87" t="inlineStr">
        <is>
          <t>T.I</t>
        </is>
      </c>
      <c r="H110" s="88" t="n">
        <v>50</v>
      </c>
    </row>
    <row r="111">
      <c r="A111" s="87" t="inlineStr">
        <is>
          <t>Fev/26</t>
        </is>
      </c>
      <c r="B111" s="87" t="inlineStr">
        <is>
          <t>27/02/2026</t>
        </is>
      </c>
      <c r="C111" s="87" t="inlineStr">
        <is>
          <t>TIM S A</t>
        </is>
      </c>
      <c r="D111" s="87" t="inlineStr">
        <is>
          <t>BOL.141</t>
        </is>
      </c>
      <c r="E111" s="87" t="inlineStr">
        <is>
          <t>99947/1</t>
        </is>
      </c>
      <c r="F111" s="87" t="inlineStr">
        <is>
          <t>Tetus</t>
        </is>
      </c>
      <c r="G111" s="87" t="inlineStr">
        <is>
          <t>T.I</t>
        </is>
      </c>
      <c r="H111" s="88" t="n">
        <v>338.5</v>
      </c>
    </row>
    <row r="112">
      <c r="A112" s="87" t="inlineStr">
        <is>
          <t>Fev/26</t>
        </is>
      </c>
      <c r="B112" s="87" t="inlineStr">
        <is>
          <t>13/02/2026</t>
        </is>
      </c>
      <c r="C112" s="87" t="inlineStr">
        <is>
          <t>VC1 SOLUCOES EM TECNOLOGIA EIRELI</t>
        </is>
      </c>
      <c r="D112" s="87" t="inlineStr">
        <is>
          <t>BOL.26449</t>
        </is>
      </c>
      <c r="E112" s="87" t="inlineStr">
        <is>
          <t>99484/1</t>
        </is>
      </c>
      <c r="F112" s="87" t="inlineStr">
        <is>
          <t>Tetus</t>
        </is>
      </c>
      <c r="G112" s="87" t="inlineStr">
        <is>
          <t>T.I</t>
        </is>
      </c>
      <c r="H112" s="88" t="n">
        <v>137.94</v>
      </c>
    </row>
    <row r="113">
      <c r="A113" s="87" t="inlineStr">
        <is>
          <t>Fev/26</t>
        </is>
      </c>
      <c r="B113" s="87" t="inlineStr">
        <is>
          <t>19/02/2026</t>
        </is>
      </c>
      <c r="C113" s="87" t="inlineStr">
        <is>
          <t>VC1 SOLUCOES EM TECNOLOGIA EIRELI</t>
        </is>
      </c>
      <c r="D113" s="87" t="inlineStr">
        <is>
          <t>BOL.27256</t>
        </is>
      </c>
      <c r="E113" s="87" t="inlineStr">
        <is>
          <t>99486/1</t>
        </is>
      </c>
      <c r="F113" s="87" t="inlineStr">
        <is>
          <t>Tetus</t>
        </is>
      </c>
      <c r="G113" s="87" t="inlineStr">
        <is>
          <t>T.I</t>
        </is>
      </c>
      <c r="H113" s="88" t="n">
        <v>137.9</v>
      </c>
    </row>
    <row r="114">
      <c r="A114" s="87" t="inlineStr">
        <is>
          <t>Fev/26</t>
        </is>
      </c>
      <c r="B114" s="87" t="inlineStr">
        <is>
          <t>06/02/2026</t>
        </is>
      </c>
      <c r="C114" s="87" t="inlineStr">
        <is>
          <t>VINICIUS DI FRANCO HEITOR</t>
        </is>
      </c>
      <c r="D114" s="87" t="inlineStr">
        <is>
          <t>SAL.SAL JANEIRO 2026</t>
        </is>
      </c>
      <c r="E114" s="87" t="inlineStr">
        <is>
          <t>98811/1</t>
        </is>
      </c>
      <c r="F114" s="87" t="inlineStr">
        <is>
          <t>Tetus</t>
        </is>
      </c>
      <c r="G114" s="87" t="inlineStr">
        <is>
          <t>T.I</t>
        </is>
      </c>
      <c r="H114" s="88" t="n">
        <v>1750</v>
      </c>
    </row>
    <row r="115">
      <c r="A115" s="87" t="inlineStr">
        <is>
          <t>Fev/26</t>
        </is>
      </c>
      <c r="B115" s="87" t="inlineStr">
        <is>
          <t>20/02/2026</t>
        </is>
      </c>
      <c r="C115" s="87" t="inlineStr">
        <is>
          <t>VINICIUS DI FRANCO HEITOR</t>
        </is>
      </c>
      <c r="D115" s="87" t="inlineStr">
        <is>
          <t>SAL.VALE FEVEREIRO 26</t>
        </is>
      </c>
      <c r="E115" s="87" t="inlineStr">
        <is>
          <t>99890/1</t>
        </is>
      </c>
      <c r="F115" s="87" t="inlineStr">
        <is>
          <t>Tetus</t>
        </is>
      </c>
      <c r="G115" s="87" t="inlineStr">
        <is>
          <t>T.I</t>
        </is>
      </c>
      <c r="H115" s="88" t="n">
        <v>1029</v>
      </c>
    </row>
    <row r="116">
      <c r="A116" s="87" t="inlineStr">
        <is>
          <t>Fev/26</t>
        </is>
      </c>
      <c r="B116" s="87" t="inlineStr">
        <is>
          <t>2026-02-20 00:00:00</t>
        </is>
      </c>
      <c r="C116" s="87" t="inlineStr">
        <is>
          <t>VINICIUS DI FRANCO HEITOR</t>
        </is>
      </c>
      <c r="D116" s="87" t="inlineStr">
        <is>
          <t>FGTS/INSS</t>
        </is>
      </c>
      <c r="E116" s="87" t="inlineStr">
        <is>
          <t>113754/2</t>
        </is>
      </c>
      <c r="F116" s="87" t="inlineStr">
        <is>
          <t>Tetus</t>
        </is>
      </c>
      <c r="G116" s="87" t="inlineStr">
        <is>
          <t>T.I</t>
        </is>
      </c>
      <c r="H116" s="88" t="n">
        <v>207.04</v>
      </c>
    </row>
    <row r="117">
      <c r="A117" s="87" t="inlineStr">
        <is>
          <t>Fev/26</t>
        </is>
      </c>
      <c r="B117" s="87" t="inlineStr">
        <is>
          <t>2026-02-01 00:00:00</t>
        </is>
      </c>
      <c r="C117" s="87" t="inlineStr">
        <is>
          <t>Vale Alimentação Vinicius</t>
        </is>
      </c>
      <c r="D117" s="87" t="inlineStr"/>
      <c r="E117" s="87" t="inlineStr"/>
      <c r="F117" s="87" t="inlineStr">
        <is>
          <t>Tetus</t>
        </is>
      </c>
      <c r="G117" s="87" t="inlineStr">
        <is>
          <t>T.I</t>
        </is>
      </c>
      <c r="H117" s="88" t="n">
        <v>485</v>
      </c>
    </row>
    <row r="118">
      <c r="A118" s="87" t="inlineStr">
        <is>
          <t>Fev/26</t>
        </is>
      </c>
      <c r="B118" s="87" t="inlineStr">
        <is>
          <t>27/02/2026</t>
        </is>
      </c>
      <c r="C118" s="87" t="inlineStr">
        <is>
          <t>WEB MOBILE TELECOM LTDA</t>
        </is>
      </c>
      <c r="D118" s="87" t="inlineStr">
        <is>
          <t>NFS.1430</t>
        </is>
      </c>
      <c r="E118" s="87" t="inlineStr">
        <is>
          <t>99956/1</t>
        </is>
      </c>
      <c r="F118" s="87" t="inlineStr">
        <is>
          <t>Tetus</t>
        </is>
      </c>
      <c r="G118" s="87" t="inlineStr">
        <is>
          <t>T.I</t>
        </is>
      </c>
      <c r="H118" s="88" t="n">
        <v>75</v>
      </c>
    </row>
    <row r="119">
      <c r="A119" s="87" t="inlineStr">
        <is>
          <t>Mar/26</t>
        </is>
      </c>
      <c r="B119" s="87" t="inlineStr">
        <is>
          <t>02/03/2026</t>
        </is>
      </c>
      <c r="C119" s="87" t="inlineStr">
        <is>
          <t>61.582.518 MIGUEL CLEPF PASSOS</t>
        </is>
      </c>
      <c r="D119" s="87" t="inlineStr">
        <is>
          <t>NFS.9</t>
        </is>
      </c>
      <c r="E119" s="87" t="inlineStr">
        <is>
          <t>99903/1</t>
        </is>
      </c>
      <c r="F119" s="87" t="inlineStr">
        <is>
          <t>Tetus</t>
        </is>
      </c>
      <c r="G119" s="87" t="inlineStr">
        <is>
          <t>Júridico</t>
        </is>
      </c>
      <c r="H119" s="88" t="n">
        <v>6750</v>
      </c>
    </row>
    <row r="120">
      <c r="A120" s="87" t="inlineStr">
        <is>
          <t>Mar/26</t>
        </is>
      </c>
      <c r="B120" s="87" t="inlineStr">
        <is>
          <t>15/03/2026</t>
        </is>
      </c>
      <c r="C120" s="87" t="inlineStr">
        <is>
          <t>ADAPTA EDUCACAO LTDA</t>
        </is>
      </c>
      <c r="D120" s="87" t="inlineStr">
        <is>
          <t>AV.4134643529</t>
        </is>
      </c>
      <c r="E120" s="87" t="inlineStr">
        <is>
          <t>89562/5</t>
        </is>
      </c>
      <c r="F120" s="87" t="inlineStr">
        <is>
          <t>Tetus</t>
        </is>
      </c>
      <c r="G120" s="87" t="inlineStr">
        <is>
          <t>Júridico</t>
        </is>
      </c>
      <c r="H120" s="88" t="n">
        <v>575</v>
      </c>
    </row>
    <row r="121">
      <c r="A121" s="87" t="inlineStr">
        <is>
          <t>Mar/26</t>
        </is>
      </c>
      <c r="B121" s="87" t="inlineStr">
        <is>
          <t>02/03/2026</t>
        </is>
      </c>
      <c r="C121" s="87" t="inlineStr">
        <is>
          <t>CARNEIRO RABELO SOCIEDADE INDIVIDUAL DE ADVOCACIA</t>
        </is>
      </c>
      <c r="D121" s="87" t="inlineStr">
        <is>
          <t>NFS.61</t>
        </is>
      </c>
      <c r="E121" s="87" t="inlineStr">
        <is>
          <t>100168/1</t>
        </is>
      </c>
      <c r="F121" s="87" t="inlineStr">
        <is>
          <t>Tetus</t>
        </is>
      </c>
      <c r="G121" s="87" t="inlineStr">
        <is>
          <t>Júridico</t>
        </is>
      </c>
      <c r="H121" s="88" t="n">
        <v>13954.52</v>
      </c>
    </row>
    <row r="122">
      <c r="A122" s="87" t="inlineStr">
        <is>
          <t>Mar/26</t>
        </is>
      </c>
      <c r="B122" s="87" t="inlineStr">
        <is>
          <t>05/03/2026</t>
        </is>
      </c>
      <c r="C122" s="87" t="inlineStr">
        <is>
          <t>CLARO S.A.</t>
        </is>
      </c>
      <c r="D122" s="87" t="inlineStr">
        <is>
          <t>FAT.5042829</t>
        </is>
      </c>
      <c r="E122" s="87" t="inlineStr">
        <is>
          <t>100503/1</t>
        </is>
      </c>
      <c r="F122" s="87" t="inlineStr">
        <is>
          <t>Tetus</t>
        </is>
      </c>
      <c r="G122" s="87" t="inlineStr">
        <is>
          <t>T.I</t>
        </is>
      </c>
      <c r="H122" s="88" t="n">
        <v>87.69</v>
      </c>
    </row>
    <row r="123">
      <c r="A123" s="87" t="inlineStr">
        <is>
          <t>Mar/26</t>
        </is>
      </c>
      <c r="B123" s="87" t="inlineStr">
        <is>
          <t>05/03/2026</t>
        </is>
      </c>
      <c r="C123" s="87" t="inlineStr">
        <is>
          <t>CLARO S.A.</t>
        </is>
      </c>
      <c r="D123" s="87" t="inlineStr">
        <is>
          <t>FAT.5042827</t>
        </is>
      </c>
      <c r="E123" s="87" t="inlineStr">
        <is>
          <t>100504/1</t>
        </is>
      </c>
      <c r="F123" s="87" t="inlineStr">
        <is>
          <t>Tetus</t>
        </is>
      </c>
      <c r="G123" s="87" t="inlineStr">
        <is>
          <t>T.I</t>
        </is>
      </c>
      <c r="H123" s="88" t="n">
        <v>382.4</v>
      </c>
    </row>
    <row r="124">
      <c r="A124" s="87" t="inlineStr">
        <is>
          <t>Mar/26</t>
        </is>
      </c>
      <c r="B124" s="87" t="inlineStr">
        <is>
          <t>28/03/2026</t>
        </is>
      </c>
      <c r="C124" s="87" t="inlineStr">
        <is>
          <t>CLARO S.A.</t>
        </is>
      </c>
      <c r="D124" s="87" t="inlineStr">
        <is>
          <t>FAT.8910508</t>
        </is>
      </c>
      <c r="E124" s="87" t="inlineStr">
        <is>
          <t>102706/1</t>
        </is>
      </c>
      <c r="F124" s="87" t="inlineStr">
        <is>
          <t>Tetus</t>
        </is>
      </c>
      <c r="G124" s="87" t="inlineStr">
        <is>
          <t>T.I</t>
        </is>
      </c>
      <c r="H124" s="88" t="n">
        <v>429.49</v>
      </c>
    </row>
    <row r="125">
      <c r="A125" s="87" t="inlineStr">
        <is>
          <t>Mar/26</t>
        </is>
      </c>
      <c r="B125" s="87" t="inlineStr">
        <is>
          <t>27/03/2026</t>
        </is>
      </c>
      <c r="C125" s="87" t="inlineStr">
        <is>
          <t>CLICKSIGN GESTAO DE DOCUMENTOS S/A</t>
        </is>
      </c>
      <c r="D125" s="87" t="inlineStr">
        <is>
          <t>NFS.420714</t>
        </is>
      </c>
      <c r="E125" s="87" t="inlineStr">
        <is>
          <t>102999/1</t>
        </is>
      </c>
      <c r="F125" s="87" t="inlineStr">
        <is>
          <t>Tetus</t>
        </is>
      </c>
      <c r="G125" s="87" t="inlineStr">
        <is>
          <t>Júridico</t>
        </is>
      </c>
      <c r="H125" s="88" t="n">
        <v>470.49</v>
      </c>
    </row>
    <row r="126">
      <c r="A126" s="87" t="inlineStr">
        <is>
          <t>Mar/26</t>
        </is>
      </c>
      <c r="B126" s="87" t="inlineStr">
        <is>
          <t>10/03/2026</t>
        </is>
      </c>
      <c r="C126" s="87" t="inlineStr">
        <is>
          <t>EDITORA E DISTRIBUIDORA EDUCACIONAL S/A</t>
        </is>
      </c>
      <c r="D126" s="87" t="inlineStr">
        <is>
          <t>AV.MENSALIDADE 26</t>
        </is>
      </c>
      <c r="E126" s="87" t="inlineStr">
        <is>
          <t>94807/3</t>
        </is>
      </c>
      <c r="F126" s="87" t="inlineStr">
        <is>
          <t>Tetus</t>
        </is>
      </c>
      <c r="G126" s="87" t="inlineStr">
        <is>
          <t>Júridico</t>
        </is>
      </c>
      <c r="H126" s="88" t="n">
        <v>219.32</v>
      </c>
    </row>
    <row r="127">
      <c r="A127" s="87" t="inlineStr">
        <is>
          <t>Mar/26</t>
        </is>
      </c>
      <c r="B127" s="87" t="inlineStr">
        <is>
          <t>05/03/2026</t>
        </is>
      </c>
      <c r="C127" s="87" t="inlineStr">
        <is>
          <t>GABRIELLA BRANDÃO VALÉRIO</t>
        </is>
      </c>
      <c r="D127" s="87" t="inlineStr">
        <is>
          <t>AV.Hon 105B Verano</t>
        </is>
      </c>
      <c r="E127" s="87" t="inlineStr">
        <is>
          <t>97276/2</t>
        </is>
      </c>
      <c r="F127" s="87" t="inlineStr">
        <is>
          <t>San Marino</t>
        </is>
      </c>
      <c r="G127" s="87" t="inlineStr">
        <is>
          <t>Júridico</t>
        </is>
      </c>
      <c r="H127" s="88" t="n">
        <v>513.22</v>
      </c>
    </row>
    <row r="128">
      <c r="A128" s="87" t="inlineStr">
        <is>
          <t>Mar/26</t>
        </is>
      </c>
      <c r="B128" s="87" t="inlineStr">
        <is>
          <t>05/03/2026</t>
        </is>
      </c>
      <c r="C128" s="87" t="inlineStr">
        <is>
          <t>GEOVANA CAVALCANTI</t>
        </is>
      </c>
      <c r="D128" s="87" t="inlineStr">
        <is>
          <t>SAL.ferias_Geovana0326</t>
        </is>
      </c>
      <c r="E128" s="87" t="inlineStr">
        <is>
          <t>100044/1</t>
        </is>
      </c>
      <c r="F128" s="87" t="inlineStr">
        <is>
          <t>Tetus</t>
        </is>
      </c>
      <c r="G128" s="87" t="inlineStr">
        <is>
          <t>Júridico</t>
        </is>
      </c>
      <c r="H128" s="88" t="n">
        <v>3542.25</v>
      </c>
    </row>
    <row r="129">
      <c r="A129" s="87" t="inlineStr">
        <is>
          <t>Mar/26</t>
        </is>
      </c>
      <c r="B129" s="87" t="inlineStr">
        <is>
          <t>06/03/2026</t>
        </is>
      </c>
      <c r="C129" s="87" t="inlineStr">
        <is>
          <t>GEOVANA CAVALCANTI</t>
        </is>
      </c>
      <c r="D129" s="87" t="inlineStr">
        <is>
          <t>SAL.SAL FEVEREIRO 26</t>
        </is>
      </c>
      <c r="E129" s="87" t="inlineStr">
        <is>
          <t>101240/1</t>
        </is>
      </c>
      <c r="F129" s="87" t="inlineStr">
        <is>
          <t>Tetus</t>
        </is>
      </c>
      <c r="G129" s="87" t="inlineStr">
        <is>
          <t>Júridico</t>
        </is>
      </c>
      <c r="H129" s="88" t="n">
        <v>1746</v>
      </c>
    </row>
    <row r="130">
      <c r="A130" s="87" t="inlineStr">
        <is>
          <t>Mar/26</t>
        </is>
      </c>
      <c r="B130" s="87" t="inlineStr">
        <is>
          <t>15/03/2026</t>
        </is>
      </c>
      <c r="C130" s="87" t="inlineStr">
        <is>
          <t>GOSHME SOLUCOES PARA A INTERNET LTDA</t>
        </is>
      </c>
      <c r="D130" s="87" t="inlineStr">
        <is>
          <t>AV.jusbrasil 02.26</t>
        </is>
      </c>
      <c r="E130" s="87" t="inlineStr">
        <is>
          <t>98907/1</t>
        </is>
      </c>
      <c r="F130" s="87" t="inlineStr">
        <is>
          <t>Tetus</t>
        </is>
      </c>
      <c r="G130" s="87" t="inlineStr">
        <is>
          <t>Júridico</t>
        </is>
      </c>
      <c r="H130" s="88" t="n">
        <v>136.4</v>
      </c>
    </row>
    <row r="131">
      <c r="A131" s="87" t="inlineStr">
        <is>
          <t>Mar/26</t>
        </is>
      </c>
      <c r="B131" s="87" t="inlineStr">
        <is>
          <t>02/03/2026</t>
        </is>
      </c>
      <c r="C131" s="87" t="inlineStr">
        <is>
          <t>INTELBRAS S.A. INDUSTRIA DE TELECOMUNICACAO ELETRONICA BRASILEIRA</t>
        </is>
      </c>
      <c r="D131" s="87" t="inlineStr">
        <is>
          <t>NFS.351653</t>
        </is>
      </c>
      <c r="E131" s="87" t="inlineStr">
        <is>
          <t>100083/1</t>
        </is>
      </c>
      <c r="F131" s="87" t="inlineStr">
        <is>
          <t>Tetus</t>
        </is>
      </c>
      <c r="G131" s="87" t="inlineStr">
        <is>
          <t>T.I</t>
        </is>
      </c>
      <c r="H131" s="88" t="n">
        <v>79.59999999999999</v>
      </c>
    </row>
    <row r="132">
      <c r="A132" s="87" t="inlineStr">
        <is>
          <t>Mar/26</t>
        </is>
      </c>
      <c r="B132" s="87" t="inlineStr">
        <is>
          <t>30/03/2026</t>
        </is>
      </c>
      <c r="C132" s="87" t="inlineStr">
        <is>
          <t>INTELBRAS S.A. INDUSTRIA DE TELECOMUNICACAO ELETRONICA BRASILEIRA</t>
        </is>
      </c>
      <c r="D132" s="87" t="inlineStr">
        <is>
          <t>NFS.359396</t>
        </is>
      </c>
      <c r="E132" s="87" t="inlineStr">
        <is>
          <t>102608/1</t>
        </is>
      </c>
      <c r="F132" s="87" t="inlineStr">
        <is>
          <t>Tetus</t>
        </is>
      </c>
      <c r="G132" s="87" t="inlineStr">
        <is>
          <t>T.I</t>
        </is>
      </c>
      <c r="H132" s="88" t="n">
        <v>79.59999999999999</v>
      </c>
    </row>
    <row r="133">
      <c r="A133" s="87" t="inlineStr">
        <is>
          <t>Mar/26</t>
        </is>
      </c>
      <c r="B133" s="87" t="inlineStr">
        <is>
          <t>26/03/2026</t>
        </is>
      </c>
      <c r="C133" s="87" t="inlineStr">
        <is>
          <t>JUNTA COMERCIAL DO ESTADO DE SAO PAULO</t>
        </is>
      </c>
      <c r="D133" s="87" t="inlineStr">
        <is>
          <t>AV.DARE ALTERAÇÃO</t>
        </is>
      </c>
      <c r="E133" s="87" t="inlineStr">
        <is>
          <t>103153/1</t>
        </is>
      </c>
      <c r="F133" s="87" t="inlineStr">
        <is>
          <t>Padre Eugênio</t>
        </is>
      </c>
      <c r="G133" s="87" t="inlineStr">
        <is>
          <t>Júridico</t>
        </is>
      </c>
      <c r="H133" s="88" t="n">
        <v>273.55</v>
      </c>
    </row>
    <row r="134">
      <c r="A134" s="87" t="inlineStr">
        <is>
          <t>Mar/26</t>
        </is>
      </c>
      <c r="B134" s="87" t="inlineStr">
        <is>
          <t>03/03/2026</t>
        </is>
      </c>
      <c r="C134" s="87" t="inlineStr">
        <is>
          <t>LEME INTELIGENCIA FORENSE E CONSULTORIA EMPRESARIAL LTDA</t>
        </is>
      </c>
      <c r="D134" s="87" t="inlineStr">
        <is>
          <t>NFS.18372</t>
        </is>
      </c>
      <c r="E134" s="87" t="inlineStr">
        <is>
          <t>100152/1</t>
        </is>
      </c>
      <c r="F134" s="87" t="inlineStr">
        <is>
          <t>Tetus</t>
        </is>
      </c>
      <c r="G134" s="87" t="inlineStr">
        <is>
          <t>Júridico</t>
        </is>
      </c>
      <c r="H134" s="88" t="n">
        <v>970.5700000000001</v>
      </c>
    </row>
    <row r="135">
      <c r="A135" s="87" t="inlineStr">
        <is>
          <t>Mar/26</t>
        </is>
      </c>
      <c r="B135" s="87" t="inlineStr">
        <is>
          <t>06/03/2026</t>
        </is>
      </c>
      <c r="C135" s="87" t="inlineStr">
        <is>
          <t>LEME INTELIGENCIA FORENSE E CONSULTORIA EMPRESARIAL LTDA</t>
        </is>
      </c>
      <c r="D135" s="87" t="inlineStr">
        <is>
          <t>NFS.17418</t>
        </is>
      </c>
      <c r="E135" s="87" t="inlineStr">
        <is>
          <t>101146/1</t>
        </is>
      </c>
      <c r="F135" s="87" t="inlineStr">
        <is>
          <t>Tetus</t>
        </is>
      </c>
      <c r="G135" s="87" t="inlineStr">
        <is>
          <t>Júridico</t>
        </is>
      </c>
      <c r="H135" s="88" t="n">
        <v>970.5700000000001</v>
      </c>
    </row>
    <row r="136">
      <c r="A136" s="87" t="inlineStr">
        <is>
          <t>Mar/26</t>
        </is>
      </c>
      <c r="B136" s="87" t="inlineStr">
        <is>
          <t>24/03/2026</t>
        </is>
      </c>
      <c r="C136" s="87" t="inlineStr">
        <is>
          <t>LEME INTELIGENCIA FORENSE E CONSULTORIA EMPRESARIAL LTDA</t>
        </is>
      </c>
      <c r="D136" s="87" t="inlineStr">
        <is>
          <t>NFS.19367</t>
        </is>
      </c>
      <c r="E136" s="87" t="inlineStr">
        <is>
          <t>102218/1</t>
        </is>
      </c>
      <c r="F136" s="87" t="inlineStr">
        <is>
          <t>Tetus</t>
        </is>
      </c>
      <c r="G136" s="87" t="inlineStr">
        <is>
          <t>Júridico</t>
        </is>
      </c>
      <c r="H136" s="88" t="n">
        <v>797.26</v>
      </c>
    </row>
    <row r="137">
      <c r="A137" s="87" t="inlineStr">
        <is>
          <t>Mar/26</t>
        </is>
      </c>
      <c r="B137" s="87" t="inlineStr">
        <is>
          <t>12/03/2026</t>
        </is>
      </c>
      <c r="C137" s="87" t="inlineStr">
        <is>
          <t>MICHELE DE OLIVEIRA SILVA</t>
        </is>
      </c>
      <c r="D137" s="87" t="inlineStr">
        <is>
          <t>AV.HON_1310A</t>
        </is>
      </c>
      <c r="E137" s="87" t="inlineStr">
        <is>
          <t>81462/8</t>
        </is>
      </c>
      <c r="F137" s="87" t="inlineStr">
        <is>
          <t>Padre Eugênio</t>
        </is>
      </c>
      <c r="G137" s="87" t="inlineStr">
        <is>
          <t>Júridico</t>
        </is>
      </c>
      <c r="H137" s="88" t="n">
        <v>144.34</v>
      </c>
    </row>
    <row r="138">
      <c r="A138" s="87" t="inlineStr">
        <is>
          <t>Mar/26</t>
        </is>
      </c>
      <c r="B138" s="87" t="inlineStr">
        <is>
          <t>12/03/2026</t>
        </is>
      </c>
      <c r="C138" s="87" t="inlineStr">
        <is>
          <t>MICHELE DE OLIVEIRA SILVA</t>
        </is>
      </c>
      <c r="D138" s="87" t="inlineStr">
        <is>
          <t>AV.HON_802A</t>
        </is>
      </c>
      <c r="E138" s="87" t="inlineStr">
        <is>
          <t>89206/5</t>
        </is>
      </c>
      <c r="F138" s="87" t="inlineStr">
        <is>
          <t>Padre Eugênio</t>
        </is>
      </c>
      <c r="G138" s="87" t="inlineStr">
        <is>
          <t>Júridico</t>
        </is>
      </c>
      <c r="H138" s="88" t="n">
        <v>116.62</v>
      </c>
    </row>
    <row r="139">
      <c r="A139" s="87" t="inlineStr">
        <is>
          <t>Mar/26</t>
        </is>
      </c>
      <c r="B139" s="87" t="inlineStr">
        <is>
          <t>12/03/2026</t>
        </is>
      </c>
      <c r="C139" s="87" t="inlineStr">
        <is>
          <t>MICHELE DE OLIVEIRA SILVA</t>
        </is>
      </c>
      <c r="D139" s="87" t="inlineStr">
        <is>
          <t>AV.HONORARIOS_1008B</t>
        </is>
      </c>
      <c r="E139" s="87" t="inlineStr">
        <is>
          <t>92298/4</t>
        </is>
      </c>
      <c r="F139" s="87" t="inlineStr">
        <is>
          <t>Padre Eugênio</t>
        </is>
      </c>
      <c r="G139" s="87" t="inlineStr">
        <is>
          <t>Júridico</t>
        </is>
      </c>
      <c r="H139" s="88" t="n">
        <v>42.28</v>
      </c>
    </row>
    <row r="140">
      <c r="A140" s="87" t="inlineStr">
        <is>
          <t>Mar/26</t>
        </is>
      </c>
      <c r="B140" s="87" t="inlineStr">
        <is>
          <t>10/03/2026</t>
        </is>
      </c>
      <c r="C140" s="87" t="inlineStr">
        <is>
          <t>MICHELE DE OLIVEIRA SILVA</t>
        </is>
      </c>
      <c r="D140" s="87" t="inlineStr">
        <is>
          <t>AV.HON. 304C VERANO</t>
        </is>
      </c>
      <c r="E140" s="87" t="inlineStr">
        <is>
          <t>78609/11</t>
        </is>
      </c>
      <c r="F140" s="87" t="inlineStr">
        <is>
          <t>San Marino</t>
        </is>
      </c>
      <c r="G140" s="87" t="inlineStr">
        <is>
          <t>Júridico</t>
        </is>
      </c>
      <c r="H140" s="88" t="n">
        <v>234.31</v>
      </c>
    </row>
    <row r="141">
      <c r="A141" s="87" t="inlineStr">
        <is>
          <t>Mar/26</t>
        </is>
      </c>
      <c r="B141" s="87" t="inlineStr">
        <is>
          <t>10/03/2026</t>
        </is>
      </c>
      <c r="C141" s="87" t="inlineStr">
        <is>
          <t>MICHELE DE OLIVEIRA SILVA</t>
        </is>
      </c>
      <c r="D141" s="87" t="inlineStr">
        <is>
          <t>AV.HONORARIOS 406B</t>
        </is>
      </c>
      <c r="E141" s="87" t="inlineStr">
        <is>
          <t>94390/2</t>
        </is>
      </c>
      <c r="F141" s="87" t="inlineStr">
        <is>
          <t>San Marino</t>
        </is>
      </c>
      <c r="G141" s="87" t="inlineStr">
        <is>
          <t>Júridico</t>
        </is>
      </c>
      <c r="H141" s="88" t="n">
        <v>96.09999999999999</v>
      </c>
    </row>
    <row r="142">
      <c r="A142" s="87" t="inlineStr">
        <is>
          <t>Mar/26</t>
        </is>
      </c>
      <c r="B142" s="87" t="inlineStr">
        <is>
          <t>10/03/2026</t>
        </is>
      </c>
      <c r="C142" s="87" t="inlineStr">
        <is>
          <t>MICHELE DE OLIVEIRA SILVA</t>
        </is>
      </c>
      <c r="D142" s="87" t="inlineStr">
        <is>
          <t>AV.HONORARIOS 406B</t>
        </is>
      </c>
      <c r="E142" s="87" t="inlineStr">
        <is>
          <t>94390/3</t>
        </is>
      </c>
      <c r="F142" s="87" t="inlineStr">
        <is>
          <t>San Marino</t>
        </is>
      </c>
      <c r="G142" s="87" t="inlineStr">
        <is>
          <t>Júridico</t>
        </is>
      </c>
      <c r="H142" s="88" t="n">
        <v>96.09999999999999</v>
      </c>
    </row>
    <row r="143">
      <c r="A143" s="87" t="inlineStr">
        <is>
          <t>Mar/26</t>
        </is>
      </c>
      <c r="B143" s="87" t="inlineStr">
        <is>
          <t>10/03/2026</t>
        </is>
      </c>
      <c r="C143" s="87" t="inlineStr">
        <is>
          <t>MICHELE DE OLIVEIRA SILVA</t>
        </is>
      </c>
      <c r="D143" s="87" t="inlineStr">
        <is>
          <t>AV.HONORARIOS 406B</t>
        </is>
      </c>
      <c r="E143" s="87" t="inlineStr">
        <is>
          <t>94390/72</t>
        </is>
      </c>
      <c r="F143" s="87" t="inlineStr">
        <is>
          <t>San Marino</t>
        </is>
      </c>
      <c r="G143" s="87" t="inlineStr">
        <is>
          <t>Júridico</t>
        </is>
      </c>
      <c r="H143" s="88" t="n">
        <v>202.4</v>
      </c>
    </row>
    <row r="144">
      <c r="A144" s="87" t="inlineStr">
        <is>
          <t>Mar/26</t>
        </is>
      </c>
      <c r="B144" s="87" t="inlineStr">
        <is>
          <t>10/03/2026</t>
        </is>
      </c>
      <c r="C144" s="87" t="inlineStr">
        <is>
          <t>MICHELE DE OLIVEIRA SILVA</t>
        </is>
      </c>
      <c r="D144" s="87" t="inlineStr">
        <is>
          <t>HON.HON. PROCESSO 1404B</t>
        </is>
      </c>
      <c r="E144" s="87" t="inlineStr">
        <is>
          <t>95170/7</t>
        </is>
      </c>
      <c r="F144" s="87" t="inlineStr">
        <is>
          <t>San Marino</t>
        </is>
      </c>
      <c r="G144" s="87" t="inlineStr">
        <is>
          <t>Júridico</t>
        </is>
      </c>
      <c r="H144" s="88" t="n">
        <v>199.12</v>
      </c>
    </row>
    <row r="145">
      <c r="A145" s="87" t="inlineStr">
        <is>
          <t>Mar/26</t>
        </is>
      </c>
      <c r="B145" s="87" t="inlineStr">
        <is>
          <t>05/03/2026</t>
        </is>
      </c>
      <c r="C145" s="87" t="inlineStr">
        <is>
          <t>MICHELE DE OLIVEIRA SILVA</t>
        </is>
      </c>
      <c r="D145" s="87" t="inlineStr">
        <is>
          <t>REC.RecibosMichele_2026</t>
        </is>
      </c>
      <c r="E145" s="87" t="inlineStr">
        <is>
          <t>96274/3</t>
        </is>
      </c>
      <c r="F145" s="87" t="inlineStr">
        <is>
          <t>Tetus</t>
        </is>
      </c>
      <c r="G145" s="87" t="inlineStr">
        <is>
          <t>Júridico</t>
        </is>
      </c>
      <c r="H145" s="88" t="n">
        <v>2750</v>
      </c>
    </row>
    <row r="146">
      <c r="A146" s="87" t="inlineStr">
        <is>
          <t>Mar/26</t>
        </is>
      </c>
      <c r="B146" s="87" t="inlineStr">
        <is>
          <t>15/03/2026</t>
        </is>
      </c>
      <c r="C146" s="87" t="inlineStr">
        <is>
          <t>OBVIO BRASIL SOFTWARE E SERVICOS LTDA</t>
        </is>
      </c>
      <c r="D146" s="87" t="inlineStr">
        <is>
          <t>NFS.574500</t>
        </is>
      </c>
      <c r="E146" s="87" t="inlineStr">
        <is>
          <t>98616/1</t>
        </is>
      </c>
      <c r="F146" s="87" t="inlineStr">
        <is>
          <t>Tetus</t>
        </is>
      </c>
      <c r="G146" s="87" t="inlineStr">
        <is>
          <t>Júridico</t>
        </is>
      </c>
      <c r="H146" s="88" t="n">
        <v>551.95</v>
      </c>
    </row>
    <row r="147">
      <c r="A147" s="87" t="inlineStr">
        <is>
          <t>Mar/26</t>
        </is>
      </c>
      <c r="B147" s="87" t="inlineStr">
        <is>
          <t>01/03/2026</t>
        </is>
      </c>
      <c r="C147" s="87" t="inlineStr">
        <is>
          <t>OPENAI BRAZIL LIMITADA</t>
        </is>
      </c>
      <c r="D147" s="87" t="inlineStr">
        <is>
          <t>AV.CHATGPT JUR 2026</t>
        </is>
      </c>
      <c r="E147" s="87" t="inlineStr">
        <is>
          <t>95104/3</t>
        </is>
      </c>
      <c r="F147" s="87" t="inlineStr">
        <is>
          <t>Tetus</t>
        </is>
      </c>
      <c r="G147" s="87" t="inlineStr">
        <is>
          <t>T.I</t>
        </is>
      </c>
      <c r="H147" s="88" t="n">
        <v>111.38</v>
      </c>
    </row>
    <row r="148">
      <c r="A148" s="87" t="inlineStr">
        <is>
          <t>Mar/26</t>
        </is>
      </c>
      <c r="B148" s="87" t="inlineStr">
        <is>
          <t>31/03/2026</t>
        </is>
      </c>
      <c r="C148" s="87" t="inlineStr">
        <is>
          <t>OPENAI BRAZIL LIMITADA</t>
        </is>
      </c>
      <c r="D148" s="87" t="inlineStr">
        <is>
          <t>AV.CHATGPT JUR 2026</t>
        </is>
      </c>
      <c r="E148" s="87" t="inlineStr">
        <is>
          <t>95104/4</t>
        </is>
      </c>
      <c r="F148" s="87" t="inlineStr">
        <is>
          <t>Tetus</t>
        </is>
      </c>
      <c r="G148" s="87" t="inlineStr">
        <is>
          <t>T.I</t>
        </is>
      </c>
      <c r="H148" s="88" t="n">
        <v>210.38</v>
      </c>
    </row>
    <row r="149">
      <c r="A149" s="87" t="inlineStr">
        <is>
          <t>Mar/26</t>
        </is>
      </c>
      <c r="B149" s="87" t="inlineStr">
        <is>
          <t>10/03/2026</t>
        </is>
      </c>
      <c r="C149" s="87" t="inlineStr">
        <is>
          <t>OPERADOR NACIONAL DO SISTEMA DE REGISTRO ELETRONICO DE IMOVEIS ( ONR )</t>
        </is>
      </c>
      <c r="D149" s="87" t="inlineStr">
        <is>
          <t>AV.Certidão_Prot 10.03</t>
        </is>
      </c>
      <c r="E149" s="87" t="inlineStr">
        <is>
          <t>103505/1</t>
        </is>
      </c>
      <c r="F149" s="87" t="inlineStr">
        <is>
          <t>San Marino</t>
        </is>
      </c>
      <c r="G149" s="87" t="inlineStr">
        <is>
          <t>Júridico</t>
        </is>
      </c>
      <c r="H149" s="88" t="n">
        <v>39.32</v>
      </c>
    </row>
    <row r="150">
      <c r="A150" s="87" t="inlineStr">
        <is>
          <t>Mar/26</t>
        </is>
      </c>
      <c r="B150" s="87" t="inlineStr">
        <is>
          <t>16/03/2026</t>
        </is>
      </c>
      <c r="C150" s="87" t="inlineStr">
        <is>
          <t>OPERADOR NACIONAL DO SISTEMA DE REGISTRO ELETRONICO DE IMOVEIS ( ONR )</t>
        </is>
      </c>
      <c r="D150" s="87" t="inlineStr">
        <is>
          <t>BOL.63448419</t>
        </is>
      </c>
      <c r="E150" s="87" t="inlineStr">
        <is>
          <t>100995/1</t>
        </is>
      </c>
      <c r="F150" s="87" t="inlineStr">
        <is>
          <t>San Marino</t>
        </is>
      </c>
      <c r="G150" s="87" t="inlineStr">
        <is>
          <t>Júridico</t>
        </is>
      </c>
      <c r="H150" s="88" t="n">
        <v>250.45</v>
      </c>
    </row>
    <row r="151">
      <c r="A151" s="87" t="inlineStr">
        <is>
          <t>Mar/26</t>
        </is>
      </c>
      <c r="B151" s="87" t="inlineStr">
        <is>
          <t>27/03/2026</t>
        </is>
      </c>
      <c r="C151" s="87" t="inlineStr">
        <is>
          <t>OPERADOR NACIONAL DO SISTEMA DE REGISTRO ELETRONICO DE IMOVEIS ( ONR )</t>
        </is>
      </c>
      <c r="D151" s="87" t="inlineStr">
        <is>
          <t>BOL.CRED REG 11.25 SAN M</t>
        </is>
      </c>
      <c r="E151" s="87" t="inlineStr">
        <is>
          <t>92516/1</t>
        </is>
      </c>
      <c r="F151" s="87" t="inlineStr">
        <is>
          <t>San Marino</t>
        </is>
      </c>
      <c r="G151" s="87" t="inlineStr">
        <is>
          <t>Júridico</t>
        </is>
      </c>
      <c r="H151" s="88" t="n">
        <v>1193.31</v>
      </c>
    </row>
    <row r="152">
      <c r="A152" s="87" t="inlineStr">
        <is>
          <t>Mar/26</t>
        </is>
      </c>
      <c r="B152" s="87" t="inlineStr">
        <is>
          <t>27/03/2026</t>
        </is>
      </c>
      <c r="C152" s="87" t="inlineStr">
        <is>
          <t>OPERADOR NACIONAL DO SISTEMA DE REGISTRO ELETRONICO DE IMOVEIS ( ONR )</t>
        </is>
      </c>
      <c r="D152" s="87" t="inlineStr">
        <is>
          <t>BOL.63472480</t>
        </is>
      </c>
      <c r="E152" s="87" t="inlineStr">
        <is>
          <t>102216/1</t>
        </is>
      </c>
      <c r="F152" s="87" t="inlineStr">
        <is>
          <t>San Marino</t>
        </is>
      </c>
      <c r="G152" s="87" t="inlineStr">
        <is>
          <t>Júridico</t>
        </is>
      </c>
      <c r="H152" s="88" t="n">
        <v>250.45</v>
      </c>
    </row>
    <row r="153">
      <c r="A153" s="87" t="inlineStr">
        <is>
          <t>Mar/26</t>
        </is>
      </c>
      <c r="B153" s="87" t="inlineStr">
        <is>
          <t>02/03/2026</t>
        </is>
      </c>
      <c r="C153" s="87" t="inlineStr">
        <is>
          <t>OPERADOR NACIONAL DO SISTEMA DE REGISTRO ELETRONICO DE IMOVEIS ( ONR )</t>
        </is>
      </c>
      <c r="D153" s="87" t="inlineStr">
        <is>
          <t>AV.Certidão_Protesto 03</t>
        </is>
      </c>
      <c r="E153" s="87" t="inlineStr">
        <is>
          <t>104719/1</t>
        </is>
      </c>
      <c r="F153" s="87" t="inlineStr">
        <is>
          <t>Tetus</t>
        </is>
      </c>
      <c r="G153" s="87" t="inlineStr">
        <is>
          <t>Júridico</t>
        </is>
      </c>
      <c r="H153" s="88" t="n">
        <v>18.18</v>
      </c>
    </row>
    <row r="154">
      <c r="A154" s="87" t="inlineStr">
        <is>
          <t>Mar/26</t>
        </is>
      </c>
      <c r="B154" s="87" t="inlineStr">
        <is>
          <t>05/03/2026</t>
        </is>
      </c>
      <c r="C154" s="87" t="inlineStr">
        <is>
          <t>OPERADOR NACIONAL DO SISTEMA DE REGISTRO ELETRONICO DE IMOVEIS ( ONR )</t>
        </is>
      </c>
      <c r="D154" s="87" t="inlineStr">
        <is>
          <t>BOL.Cred_05032026</t>
        </is>
      </c>
      <c r="E154" s="87" t="inlineStr">
        <is>
          <t>105760/1</t>
        </is>
      </c>
      <c r="F154" s="87" t="inlineStr">
        <is>
          <t>Tetus</t>
        </is>
      </c>
      <c r="G154" s="87" t="inlineStr">
        <is>
          <t>Júridico</t>
        </is>
      </c>
      <c r="H154" s="88" t="n">
        <v>50</v>
      </c>
    </row>
    <row r="155">
      <c r="A155" s="87" t="inlineStr">
        <is>
          <t>Mar/26</t>
        </is>
      </c>
      <c r="B155" s="87" t="inlineStr">
        <is>
          <t>10/03/2026</t>
        </is>
      </c>
      <c r="C155" s="87" t="inlineStr">
        <is>
          <t>OPERADOR NACIONAL DO SISTEMA DE REGISTRO ELETRONICO DE IMOVEIS ( ONR )</t>
        </is>
      </c>
      <c r="D155" s="87" t="inlineStr">
        <is>
          <t>BOL.Cancelam_Prot TETUS</t>
        </is>
      </c>
      <c r="E155" s="87" t="inlineStr">
        <is>
          <t>104733/1</t>
        </is>
      </c>
      <c r="F155" s="87" t="inlineStr">
        <is>
          <t>Tetus</t>
        </is>
      </c>
      <c r="G155" s="87" t="inlineStr">
        <is>
          <t>Júridico</t>
        </is>
      </c>
      <c r="H155" s="88" t="n">
        <v>198.79</v>
      </c>
    </row>
    <row r="156">
      <c r="A156" s="87" t="inlineStr">
        <is>
          <t>Mar/26</t>
        </is>
      </c>
      <c r="B156" s="87" t="inlineStr">
        <is>
          <t>16/03/2026</t>
        </is>
      </c>
      <c r="C156" s="87" t="inlineStr">
        <is>
          <t>OPERADOR NACIONAL DO SISTEMA DE REGISTRO ELETRONICO DE IMOVEIS ( ONR )</t>
        </is>
      </c>
      <c r="D156" s="87" t="inlineStr">
        <is>
          <t>AV.Baixa Alien Casabela</t>
        </is>
      </c>
      <c r="E156" s="87" t="inlineStr">
        <is>
          <t>102206/1</t>
        </is>
      </c>
      <c r="F156" s="87" t="inlineStr">
        <is>
          <t>Tetus</t>
        </is>
      </c>
      <c r="G156" s="87" t="inlineStr">
        <is>
          <t>Júridico</t>
        </is>
      </c>
      <c r="H156" s="88" t="n">
        <v>398.77</v>
      </c>
    </row>
    <row r="157">
      <c r="A157" s="87" t="inlineStr">
        <is>
          <t>Mar/26</t>
        </is>
      </c>
      <c r="B157" s="87" t="inlineStr">
        <is>
          <t>16/03/2026</t>
        </is>
      </c>
      <c r="C157" s="87" t="inlineStr">
        <is>
          <t>OPERADOR NACIONAL DO SISTEMA DE REGISTRO ELETRONICO DE IMOVEIS ( ONR )</t>
        </is>
      </c>
      <c r="D157" s="87" t="inlineStr">
        <is>
          <t>BOL.Credito_16032026</t>
        </is>
      </c>
      <c r="E157" s="87" t="inlineStr">
        <is>
          <t>105795/1</t>
        </is>
      </c>
      <c r="F157" s="87" t="inlineStr">
        <is>
          <t>Tetus</t>
        </is>
      </c>
      <c r="G157" s="87" t="inlineStr">
        <is>
          <t>Júridico</t>
        </is>
      </c>
      <c r="H157" s="88" t="n">
        <v>1000.45</v>
      </c>
    </row>
    <row r="158">
      <c r="A158" s="87" t="inlineStr">
        <is>
          <t>Mar/26</t>
        </is>
      </c>
      <c r="B158" s="87" t="inlineStr">
        <is>
          <t>15/03/2026</t>
        </is>
      </c>
      <c r="C158" s="87" t="inlineStr">
        <is>
          <t>OPERADOR NACIONAL DO SISTEMA DE REGISTRO ELETRONICO DE IMOVEIS ( ONR )</t>
        </is>
      </c>
      <c r="D158" s="87" t="inlineStr">
        <is>
          <t>BOL.63448383</t>
        </is>
      </c>
      <c r="E158" s="87" t="inlineStr">
        <is>
          <t>100994/1</t>
        </is>
      </c>
      <c r="F158" s="87" t="inlineStr">
        <is>
          <t>Tetus</t>
        </is>
      </c>
      <c r="G158" s="87" t="inlineStr">
        <is>
          <t>Júridico</t>
        </is>
      </c>
      <c r="H158" s="88" t="n">
        <v>1000</v>
      </c>
    </row>
    <row r="159">
      <c r="A159" s="87" t="inlineStr">
        <is>
          <t>Mar/26</t>
        </is>
      </c>
      <c r="B159" s="87" t="inlineStr">
        <is>
          <t>16/03/2026</t>
        </is>
      </c>
      <c r="C159" s="87" t="inlineStr">
        <is>
          <t>PAULO ROBERTO DE SOUZA 03565732652</t>
        </is>
      </c>
      <c r="D159" s="87" t="inlineStr">
        <is>
          <t>NFS.239</t>
        </is>
      </c>
      <c r="E159" s="87" t="inlineStr">
        <is>
          <t>100956/1</t>
        </is>
      </c>
      <c r="F159" s="87" t="inlineStr">
        <is>
          <t>Orlando Narcizo</t>
        </is>
      </c>
      <c r="G159" s="87" t="inlineStr">
        <is>
          <t>Júridico</t>
        </is>
      </c>
      <c r="H159" s="88" t="n">
        <v>140</v>
      </c>
    </row>
    <row r="160">
      <c r="A160" s="87" t="inlineStr">
        <is>
          <t>Mar/26</t>
        </is>
      </c>
      <c r="B160" s="87" t="inlineStr">
        <is>
          <t>17/03/2026</t>
        </is>
      </c>
      <c r="C160" s="87" t="inlineStr">
        <is>
          <t>PAULO ROBERTO DE SOUZA 03565732652</t>
        </is>
      </c>
      <c r="D160" s="87" t="inlineStr">
        <is>
          <t>NFS.240</t>
        </is>
      </c>
      <c r="E160" s="87" t="inlineStr">
        <is>
          <t>101495/1</t>
        </is>
      </c>
      <c r="F160" s="87" t="inlineStr">
        <is>
          <t>San Marino</t>
        </is>
      </c>
      <c r="G160" s="87" t="inlineStr">
        <is>
          <t>Júridico</t>
        </is>
      </c>
      <c r="H160" s="88" t="n">
        <v>80</v>
      </c>
    </row>
    <row r="161">
      <c r="A161" s="87" t="inlineStr">
        <is>
          <t>Mar/26</t>
        </is>
      </c>
      <c r="B161" s="87" t="inlineStr">
        <is>
          <t>13/03/2026</t>
        </is>
      </c>
      <c r="C161" s="87" t="inlineStr">
        <is>
          <t>PAULO ROBERTO DE SOUZA 03565732652</t>
        </is>
      </c>
      <c r="D161" s="87" t="inlineStr">
        <is>
          <t>NFS.243</t>
        </is>
      </c>
      <c r="E161" s="87" t="inlineStr">
        <is>
          <t>100953/1</t>
        </is>
      </c>
      <c r="F161" s="87" t="inlineStr">
        <is>
          <t>Tetus</t>
        </is>
      </c>
      <c r="G161" s="87" t="inlineStr">
        <is>
          <t>Júridico</t>
        </is>
      </c>
      <c r="H161" s="88" t="n">
        <v>470</v>
      </c>
    </row>
    <row r="162">
      <c r="A162" s="87" t="inlineStr">
        <is>
          <t>Mar/26</t>
        </is>
      </c>
      <c r="B162" s="87" t="inlineStr">
        <is>
          <t>02/03/2026</t>
        </is>
      </c>
      <c r="C162" s="87" t="inlineStr">
        <is>
          <t>SAO PAULO TRIBUNAL DE JUSTICA</t>
        </is>
      </c>
      <c r="D162" s="87" t="inlineStr">
        <is>
          <t>AV.Sisbajud Teim. 01 B</t>
        </is>
      </c>
      <c r="E162" s="87" t="inlineStr">
        <is>
          <t>100530/1</t>
        </is>
      </c>
      <c r="F162" s="87" t="inlineStr">
        <is>
          <t>Padre Eugênio</t>
        </is>
      </c>
      <c r="G162" s="87" t="inlineStr">
        <is>
          <t>Júridico</t>
        </is>
      </c>
      <c r="H162" s="88" t="n">
        <v>115.26</v>
      </c>
    </row>
    <row r="163">
      <c r="A163" s="87" t="inlineStr">
        <is>
          <t>Mar/26</t>
        </is>
      </c>
      <c r="B163" s="87" t="inlineStr">
        <is>
          <t>02/03/2026</t>
        </is>
      </c>
      <c r="C163" s="87" t="inlineStr">
        <is>
          <t>SAO PAULO TRIBUNAL DE JUSTICA</t>
        </is>
      </c>
      <c r="D163" s="87" t="inlineStr">
        <is>
          <t>AV.Scpc e SerJud 01 B</t>
        </is>
      </c>
      <c r="E163" s="87" t="inlineStr">
        <is>
          <t>100531/1</t>
        </is>
      </c>
      <c r="F163" s="87" t="inlineStr">
        <is>
          <t>Padre Eugênio</t>
        </is>
      </c>
      <c r="G163" s="87" t="inlineStr">
        <is>
          <t>Júridico</t>
        </is>
      </c>
      <c r="H163" s="88" t="n">
        <v>76.84</v>
      </c>
    </row>
    <row r="164">
      <c r="A164" s="87" t="inlineStr">
        <is>
          <t>Mar/26</t>
        </is>
      </c>
      <c r="B164" s="87" t="inlineStr">
        <is>
          <t>06/03/2026</t>
        </is>
      </c>
      <c r="C164" s="87" t="inlineStr">
        <is>
          <t>SAO PAULO TRIBUNAL DE JUSTICA</t>
        </is>
      </c>
      <c r="D164" s="87" t="inlineStr">
        <is>
          <t>AV.Int ITBI Aurora Pref</t>
        </is>
      </c>
      <c r="E164" s="87" t="inlineStr">
        <is>
          <t>100175/1</t>
        </is>
      </c>
      <c r="F164" s="87" t="inlineStr">
        <is>
          <t>Padre Eugênio</t>
        </is>
      </c>
      <c r="G164" s="87" t="inlineStr">
        <is>
          <t>Júridico</t>
        </is>
      </c>
      <c r="H164" s="88" t="n">
        <v>34.35</v>
      </c>
    </row>
    <row r="165">
      <c r="A165" s="87" t="inlineStr">
        <is>
          <t>Mar/26</t>
        </is>
      </c>
      <c r="B165" s="87" t="inlineStr">
        <is>
          <t>06/03/2026</t>
        </is>
      </c>
      <c r="C165" s="87" t="inlineStr">
        <is>
          <t>SAO PAULO TRIBUNAL DE JUSTICA</t>
        </is>
      </c>
      <c r="D165" s="87" t="inlineStr">
        <is>
          <t>AV.Rest ITBI Pref Jacar</t>
        </is>
      </c>
      <c r="E165" s="87" t="inlineStr">
        <is>
          <t>100176/1</t>
        </is>
      </c>
      <c r="F165" s="87" t="inlineStr">
        <is>
          <t>Padre Eugênio</t>
        </is>
      </c>
      <c r="G165" s="87" t="inlineStr">
        <is>
          <t>Júridico</t>
        </is>
      </c>
      <c r="H165" s="88" t="n">
        <v>5250</v>
      </c>
    </row>
    <row r="166">
      <c r="A166" s="87" t="inlineStr">
        <is>
          <t>Mar/26</t>
        </is>
      </c>
      <c r="B166" s="87" t="inlineStr">
        <is>
          <t>12/03/2026</t>
        </is>
      </c>
      <c r="C166" s="87" t="inlineStr">
        <is>
          <t>SAO PAULO TRIBUNAL DE JUSTICA</t>
        </is>
      </c>
      <c r="D166" s="87" t="inlineStr">
        <is>
          <t>AV.Bloqueios1304 B Aur</t>
        </is>
      </c>
      <c r="E166" s="87" t="inlineStr">
        <is>
          <t>101184/1</t>
        </is>
      </c>
      <c r="F166" s="87" t="inlineStr">
        <is>
          <t>Padre Eugênio</t>
        </is>
      </c>
      <c r="G166" s="87" t="inlineStr">
        <is>
          <t>Júridico</t>
        </is>
      </c>
      <c r="H166" s="88" t="n">
        <v>268.94</v>
      </c>
    </row>
    <row r="167">
      <c r="A167" s="87" t="inlineStr">
        <is>
          <t>Mar/26</t>
        </is>
      </c>
      <c r="B167" s="87" t="inlineStr">
        <is>
          <t>20/03/2026</t>
        </is>
      </c>
      <c r="C167" s="87" t="inlineStr">
        <is>
          <t>SAO PAULO TRIBUNAL DE JUSTICA</t>
        </is>
      </c>
      <c r="D167" s="87" t="inlineStr">
        <is>
          <t>AV.609B_A_JURIDICO</t>
        </is>
      </c>
      <c r="E167" s="87" t="inlineStr">
        <is>
          <t>101735/1</t>
        </is>
      </c>
      <c r="F167" s="87" t="inlineStr">
        <is>
          <t>Padre Eugênio</t>
        </is>
      </c>
      <c r="G167" s="87" t="inlineStr">
        <is>
          <t>Júridico</t>
        </is>
      </c>
      <c r="H167" s="88" t="n">
        <v>37.02</v>
      </c>
    </row>
    <row r="168">
      <c r="A168" s="87" t="inlineStr">
        <is>
          <t>Mar/26</t>
        </is>
      </c>
      <c r="B168" s="87" t="inlineStr">
        <is>
          <t>17/03/2026</t>
        </is>
      </c>
      <c r="C168" s="87" t="inlineStr">
        <is>
          <t>SAO PAULO TRIBUNAL DE JUSTICA</t>
        </is>
      </c>
      <c r="D168" s="87" t="inlineStr">
        <is>
          <t>AV.103A_V_TJSP</t>
        </is>
      </c>
      <c r="E168" s="87" t="inlineStr">
        <is>
          <t>100918/1</t>
        </is>
      </c>
      <c r="F168" s="87" t="inlineStr">
        <is>
          <t>San Marino</t>
        </is>
      </c>
      <c r="G168" s="87" t="inlineStr">
        <is>
          <t>Júridico</t>
        </is>
      </c>
      <c r="H168" s="88" t="n">
        <v>115.26</v>
      </c>
    </row>
    <row r="169">
      <c r="A169" s="87" t="inlineStr">
        <is>
          <t>Mar/26</t>
        </is>
      </c>
      <c r="B169" s="87" t="inlineStr">
        <is>
          <t>18/03/2026</t>
        </is>
      </c>
      <c r="C169" s="87" t="inlineStr">
        <is>
          <t>SAO PAULO TRIBUNAL DE JUSTICA</t>
        </is>
      </c>
      <c r="D169" s="87" t="inlineStr">
        <is>
          <t>AV.103A_V_JURIDICO</t>
        </is>
      </c>
      <c r="E169" s="87" t="inlineStr">
        <is>
          <t>101734/1</t>
        </is>
      </c>
      <c r="F169" s="87" t="inlineStr">
        <is>
          <t>San Marino</t>
        </is>
      </c>
      <c r="G169" s="87" t="inlineStr">
        <is>
          <t>Júridico</t>
        </is>
      </c>
      <c r="H169" s="88" t="n">
        <v>115.26</v>
      </c>
    </row>
    <row r="170">
      <c r="A170" s="87" t="inlineStr">
        <is>
          <t>Mar/26</t>
        </is>
      </c>
      <c r="B170" s="87" t="inlineStr">
        <is>
          <t>03/03/2026</t>
        </is>
      </c>
      <c r="C170" s="87" t="inlineStr">
        <is>
          <t>SAO PAULO TRIBUNAL DE JUSTICA</t>
        </is>
      </c>
      <c r="D170" s="87" t="inlineStr">
        <is>
          <t>AV.Guia_304C 03.03</t>
        </is>
      </c>
      <c r="E170" s="87" t="inlineStr">
        <is>
          <t>103467/1</t>
        </is>
      </c>
      <c r="F170" s="87" t="inlineStr">
        <is>
          <t>San Marino</t>
        </is>
      </c>
      <c r="G170" s="87" t="inlineStr">
        <is>
          <t>Júridico</t>
        </is>
      </c>
      <c r="H170" s="88" t="n">
        <v>71.25</v>
      </c>
    </row>
    <row r="171">
      <c r="A171" s="87" t="inlineStr">
        <is>
          <t>Mar/26</t>
        </is>
      </c>
      <c r="B171" s="87" t="inlineStr">
        <is>
          <t>18/03/2026</t>
        </is>
      </c>
      <c r="C171" s="87" t="inlineStr">
        <is>
          <t>SAO PAULO TRIBUNAL DE JUSTICA</t>
        </is>
      </c>
      <c r="D171" s="87" t="inlineStr">
        <is>
          <t>AV.510C_V_JURIDICO</t>
        </is>
      </c>
      <c r="E171" s="87" t="inlineStr">
        <is>
          <t>101732/1</t>
        </is>
      </c>
      <c r="F171" s="87" t="inlineStr">
        <is>
          <t>San Marino</t>
        </is>
      </c>
      <c r="G171" s="87" t="inlineStr">
        <is>
          <t>Júridico</t>
        </is>
      </c>
      <c r="H171" s="88" t="n">
        <v>576.3</v>
      </c>
    </row>
    <row r="172">
      <c r="A172" s="87" t="inlineStr">
        <is>
          <t>Mar/26</t>
        </is>
      </c>
      <c r="B172" s="87" t="inlineStr">
        <is>
          <t>24/03/2026</t>
        </is>
      </c>
      <c r="C172" s="87" t="inlineStr">
        <is>
          <t>SAO PAULO TRIBUNAL DE JUSTICA</t>
        </is>
      </c>
      <c r="D172" s="87" t="inlineStr">
        <is>
          <t>AV.309C_V_JURIDICO</t>
        </is>
      </c>
      <c r="E172" s="87" t="inlineStr">
        <is>
          <t>101807/1</t>
        </is>
      </c>
      <c r="F172" s="87" t="inlineStr">
        <is>
          <t>San Marino</t>
        </is>
      </c>
      <c r="G172" s="87" t="inlineStr">
        <is>
          <t>Júridico</t>
        </is>
      </c>
      <c r="H172" s="88" t="n">
        <v>38.42</v>
      </c>
    </row>
    <row r="173">
      <c r="A173" s="87" t="inlineStr">
        <is>
          <t>Mar/26</t>
        </is>
      </c>
      <c r="B173" s="87" t="inlineStr">
        <is>
          <t>23/03/2026</t>
        </is>
      </c>
      <c r="C173" s="87" t="inlineStr">
        <is>
          <t>SAO PAULO TRIBUNAL DE JUSTICA</t>
        </is>
      </c>
      <c r="D173" s="87" t="inlineStr">
        <is>
          <t>AV.Oficial 47 Vita Exec</t>
        </is>
      </c>
      <c r="E173" s="87" t="inlineStr">
        <is>
          <t>102117/1</t>
        </is>
      </c>
      <c r="F173" s="87" t="inlineStr">
        <is>
          <t>FGV</t>
        </is>
      </c>
      <c r="G173" s="87" t="inlineStr">
        <is>
          <t>Júridico</t>
        </is>
      </c>
      <c r="H173" s="88" t="n">
        <v>230.52</v>
      </c>
    </row>
    <row r="174">
      <c r="A174" s="87" t="inlineStr">
        <is>
          <t>Mar/26</t>
        </is>
      </c>
      <c r="B174" s="87" t="inlineStr">
        <is>
          <t>30/03/2026</t>
        </is>
      </c>
      <c r="C174" s="87" t="inlineStr">
        <is>
          <t>SAO PAULO TRIBUNAL DE JUSTICA</t>
        </is>
      </c>
      <c r="D174" s="87" t="inlineStr">
        <is>
          <t>AV.37_V_JURIDICO</t>
        </is>
      </c>
      <c r="E174" s="87" t="inlineStr">
        <is>
          <t>102386/1</t>
        </is>
      </c>
      <c r="F174" s="87" t="inlineStr">
        <is>
          <t>FGV</t>
        </is>
      </c>
      <c r="G174" s="87" t="inlineStr">
        <is>
          <t>Júridico</t>
        </is>
      </c>
      <c r="H174" s="88" t="n">
        <v>46.57</v>
      </c>
    </row>
    <row r="175">
      <c r="A175" s="87" t="inlineStr">
        <is>
          <t>Mar/26</t>
        </is>
      </c>
      <c r="B175" s="87" t="inlineStr">
        <is>
          <t>04/03/2026</t>
        </is>
      </c>
      <c r="C175" s="87" t="inlineStr">
        <is>
          <t>SAO PAULO TRIBUNAL DE JUSTICA</t>
        </is>
      </c>
      <c r="D175" s="87" t="inlineStr">
        <is>
          <t>AV.GUIA_PROCESSO</t>
        </is>
      </c>
      <c r="E175" s="87" t="inlineStr">
        <is>
          <t>100055/1</t>
        </is>
      </c>
      <c r="F175" s="87" t="inlineStr">
        <is>
          <t>Tetus</t>
        </is>
      </c>
      <c r="G175" s="87" t="inlineStr">
        <is>
          <t>Júridico</t>
        </is>
      </c>
      <c r="H175" s="88" t="n">
        <v>192.1</v>
      </c>
    </row>
    <row r="176">
      <c r="A176" s="87" t="inlineStr">
        <is>
          <t>Mar/26</t>
        </is>
      </c>
      <c r="B176" s="87" t="inlineStr">
        <is>
          <t>04/03/2026</t>
        </is>
      </c>
      <c r="C176" s="87" t="inlineStr">
        <is>
          <t>SAO PAULO TRIBUNAL DE JUSTICA</t>
        </is>
      </c>
      <c r="D176" s="87" t="inlineStr">
        <is>
          <t>AV.GUIA_PROCESSO_2</t>
        </is>
      </c>
      <c r="E176" s="87" t="inlineStr">
        <is>
          <t>100056/1</t>
        </is>
      </c>
      <c r="F176" s="87" t="inlineStr">
        <is>
          <t>Tetus</t>
        </is>
      </c>
      <c r="G176" s="87" t="inlineStr">
        <is>
          <t>Júridico</t>
        </is>
      </c>
      <c r="H176" s="88" t="n">
        <v>46.57</v>
      </c>
    </row>
    <row r="177">
      <c r="A177" s="87" t="inlineStr">
        <is>
          <t>Mar/26</t>
        </is>
      </c>
      <c r="B177" s="87" t="inlineStr">
        <is>
          <t>25/03/2026</t>
        </is>
      </c>
      <c r="C177" s="87" t="inlineStr">
        <is>
          <t>SERASA S.A.</t>
        </is>
      </c>
      <c r="D177" s="87" t="inlineStr">
        <is>
          <t>NFS.376898</t>
        </is>
      </c>
      <c r="E177" s="87" t="inlineStr">
        <is>
          <t>102230/1</t>
        </is>
      </c>
      <c r="F177" s="87" t="inlineStr">
        <is>
          <t>FGV</t>
        </is>
      </c>
      <c r="G177" s="87" t="inlineStr">
        <is>
          <t>Júridico</t>
        </is>
      </c>
      <c r="H177" s="88" t="n">
        <v>794.4299999999999</v>
      </c>
    </row>
    <row r="178">
      <c r="A178" s="87" t="inlineStr">
        <is>
          <t>Mar/26</t>
        </is>
      </c>
      <c r="B178" s="87" t="inlineStr">
        <is>
          <t>25/03/2026</t>
        </is>
      </c>
      <c r="C178" s="87" t="inlineStr">
        <is>
          <t>SERASA S.A.</t>
        </is>
      </c>
      <c r="D178" s="87" t="inlineStr">
        <is>
          <t>NFS.381159</t>
        </is>
      </c>
      <c r="E178" s="87" t="inlineStr">
        <is>
          <t>102504/1</t>
        </is>
      </c>
      <c r="F178" s="87" t="inlineStr">
        <is>
          <t>Tetus</t>
        </is>
      </c>
      <c r="G178" s="87" t="inlineStr">
        <is>
          <t>Júridico</t>
        </is>
      </c>
      <c r="H178" s="88" t="n">
        <v>11.43</v>
      </c>
    </row>
    <row r="179">
      <c r="A179" s="87" t="inlineStr">
        <is>
          <t>Mar/26</t>
        </is>
      </c>
      <c r="B179" s="87" t="inlineStr">
        <is>
          <t>25/03/2026</t>
        </is>
      </c>
      <c r="C179" s="87" t="inlineStr">
        <is>
          <t>SERASA S.A.</t>
        </is>
      </c>
      <c r="D179" s="87" t="inlineStr">
        <is>
          <t>NFS.377296</t>
        </is>
      </c>
      <c r="E179" s="87" t="inlineStr">
        <is>
          <t>102507/1</t>
        </is>
      </c>
      <c r="F179" s="87" t="inlineStr">
        <is>
          <t>Tetus</t>
        </is>
      </c>
      <c r="G179" s="87" t="inlineStr">
        <is>
          <t>Júridico</t>
        </is>
      </c>
      <c r="H179" s="88" t="n">
        <v>2204.35</v>
      </c>
    </row>
    <row r="180">
      <c r="A180" s="87" t="inlineStr">
        <is>
          <t>Mar/26</t>
        </is>
      </c>
      <c r="B180" s="87" t="inlineStr">
        <is>
          <t>09/03/2026</t>
        </is>
      </c>
      <c r="C180" s="87" t="inlineStr">
        <is>
          <t>TAUBATE CARTORIO DE REGISTRO CIVIL E TABELIONATO DE QUIRIRIM</t>
        </is>
      </c>
      <c r="D180" s="87" t="inlineStr">
        <is>
          <t>FAT.02.26</t>
        </is>
      </c>
      <c r="E180" s="87" t="inlineStr">
        <is>
          <t>100634/1</t>
        </is>
      </c>
      <c r="F180" s="87" t="inlineStr">
        <is>
          <t>Tetus</t>
        </is>
      </c>
      <c r="G180" s="87" t="inlineStr">
        <is>
          <t>Júridico</t>
        </is>
      </c>
      <c r="H180" s="88" t="n">
        <v>216.41</v>
      </c>
    </row>
    <row r="181">
      <c r="A181" s="87" t="inlineStr">
        <is>
          <t>Mar/26</t>
        </is>
      </c>
      <c r="B181" s="87" t="inlineStr">
        <is>
          <t>13/03/2026</t>
        </is>
      </c>
      <c r="C181" s="87" t="inlineStr">
        <is>
          <t>TAUBATE CARTORIO DE REGISTRO CIVIL E TABELIONATO DE QUIRIRIM</t>
        </is>
      </c>
      <c r="D181" s="87" t="inlineStr">
        <is>
          <t>BOL.12032026</t>
        </is>
      </c>
      <c r="E181" s="87" t="inlineStr">
        <is>
          <t>101284/1</t>
        </is>
      </c>
      <c r="F181" s="87" t="inlineStr">
        <is>
          <t>Tetus</t>
        </is>
      </c>
      <c r="G181" s="87" t="inlineStr">
        <is>
          <t>Júridico</t>
        </is>
      </c>
      <c r="H181" s="88" t="n">
        <v>23.52</v>
      </c>
    </row>
    <row r="182">
      <c r="A182" s="87" t="inlineStr">
        <is>
          <t>Mar/26</t>
        </is>
      </c>
      <c r="B182" s="87" t="inlineStr">
        <is>
          <t>24/03/2026</t>
        </is>
      </c>
      <c r="C182" s="87" t="inlineStr">
        <is>
          <t>TELEFONICA BRASIL S.A.</t>
        </is>
      </c>
      <c r="D182" s="87" t="inlineStr">
        <is>
          <t>FAT.2024588614</t>
        </is>
      </c>
      <c r="E182" s="87" t="inlineStr">
        <is>
          <t>102316/1</t>
        </is>
      </c>
      <c r="F182" s="87" t="inlineStr">
        <is>
          <t>Tetus</t>
        </is>
      </c>
      <c r="G182" s="87" t="inlineStr">
        <is>
          <t>T.I</t>
        </is>
      </c>
      <c r="H182" s="88" t="n">
        <v>50</v>
      </c>
    </row>
    <row r="183">
      <c r="A183" s="87" t="inlineStr">
        <is>
          <t>Mar/26</t>
        </is>
      </c>
      <c r="B183" s="87" t="inlineStr">
        <is>
          <t>20/03/2026</t>
        </is>
      </c>
      <c r="C183" s="87" t="inlineStr">
        <is>
          <t>TIM S A</t>
        </is>
      </c>
      <c r="D183" s="87" t="inlineStr">
        <is>
          <t>BOL.5708173302</t>
        </is>
      </c>
      <c r="E183" s="87" t="inlineStr">
        <is>
          <t>102057/1</t>
        </is>
      </c>
      <c r="F183" s="87" t="inlineStr">
        <is>
          <t>Tetus</t>
        </is>
      </c>
      <c r="G183" s="87" t="inlineStr">
        <is>
          <t>T.I</t>
        </is>
      </c>
      <c r="H183" s="88" t="n">
        <v>284.63</v>
      </c>
    </row>
    <row r="184">
      <c r="A184" s="87" t="inlineStr">
        <is>
          <t>Mar/26</t>
        </is>
      </c>
      <c r="B184" s="87" t="inlineStr">
        <is>
          <t>15/03/2026</t>
        </is>
      </c>
      <c r="C184" s="87" t="inlineStr">
        <is>
          <t>VC1 SOLUCOES EM TECNOLOGIA EIRELI</t>
        </is>
      </c>
      <c r="D184" s="87" t="inlineStr">
        <is>
          <t>BOL.28049</t>
        </is>
      </c>
      <c r="E184" s="87" t="inlineStr">
        <is>
          <t>100887/1</t>
        </is>
      </c>
      <c r="F184" s="87" t="inlineStr">
        <is>
          <t>Tetus</t>
        </is>
      </c>
      <c r="G184" s="87" t="inlineStr">
        <is>
          <t>T.I</t>
        </is>
      </c>
      <c r="H184" s="88" t="n">
        <v>137.9</v>
      </c>
    </row>
    <row r="185">
      <c r="A185" s="87" t="inlineStr">
        <is>
          <t>Mar/26</t>
        </is>
      </c>
      <c r="B185" s="87" t="inlineStr">
        <is>
          <t>06/03/2026</t>
        </is>
      </c>
      <c r="C185" s="87" t="inlineStr">
        <is>
          <t>VINICIUS DI FRANCO HEITOR</t>
        </is>
      </c>
      <c r="D185" s="87" t="inlineStr">
        <is>
          <t>SAL.SAL FEVEREIRO 26</t>
        </is>
      </c>
      <c r="E185" s="87" t="inlineStr">
        <is>
          <t>101276/1</t>
        </is>
      </c>
      <c r="F185" s="87" t="inlineStr">
        <is>
          <t>Tetus</t>
        </is>
      </c>
      <c r="G185" s="87" t="inlineStr">
        <is>
          <t>T.I</t>
        </is>
      </c>
      <c r="H185" s="88" t="n">
        <v>1542</v>
      </c>
    </row>
    <row r="186">
      <c r="A186" s="87" t="inlineStr">
        <is>
          <t>Mar/26</t>
        </is>
      </c>
      <c r="B186" s="87" t="inlineStr">
        <is>
          <t>20/03/2026</t>
        </is>
      </c>
      <c r="C186" s="87" t="inlineStr">
        <is>
          <t>VINICIUS DI FRANCO HEITOR</t>
        </is>
      </c>
      <c r="D186" s="87" t="inlineStr">
        <is>
          <t>SAL.VALE 032026</t>
        </is>
      </c>
      <c r="E186" s="87" t="inlineStr">
        <is>
          <t>102295/1</t>
        </is>
      </c>
      <c r="F186" s="87" t="inlineStr">
        <is>
          <t>Tetus</t>
        </is>
      </c>
      <c r="G186" s="87" t="inlineStr">
        <is>
          <t>T.I</t>
        </is>
      </c>
      <c r="H186" s="88" t="n">
        <v>1029</v>
      </c>
    </row>
    <row r="187">
      <c r="A187" s="87" t="inlineStr">
        <is>
          <t>Mar/26</t>
        </is>
      </c>
      <c r="B187" s="87" t="inlineStr">
        <is>
          <t>2026-03-20 00:00:00</t>
        </is>
      </c>
      <c r="C187" s="87" t="inlineStr">
        <is>
          <t>VINICIUS DI FRANCO HEITOR</t>
        </is>
      </c>
      <c r="D187" s="87" t="inlineStr">
        <is>
          <t>FGTS/INSS</t>
        </is>
      </c>
      <c r="E187" s="87" t="inlineStr">
        <is>
          <t>113754/3</t>
        </is>
      </c>
      <c r="F187" s="87" t="inlineStr">
        <is>
          <t>Tetus</t>
        </is>
      </c>
      <c r="G187" s="87" t="inlineStr">
        <is>
          <t>T.I</t>
        </is>
      </c>
      <c r="H187" s="88" t="n">
        <v>207.04</v>
      </c>
    </row>
    <row r="188">
      <c r="A188" s="87" t="inlineStr">
        <is>
          <t>Mar/26</t>
        </is>
      </c>
      <c r="B188" s="87" t="inlineStr">
        <is>
          <t>2026-03-01 00:00:00</t>
        </is>
      </c>
      <c r="C188" s="87" t="inlineStr">
        <is>
          <t>Vale Alimentação Vinicius</t>
        </is>
      </c>
      <c r="D188" s="87" t="inlineStr"/>
      <c r="E188" s="87" t="inlineStr"/>
      <c r="F188" s="87" t="inlineStr">
        <is>
          <t>Tetus</t>
        </is>
      </c>
      <c r="G188" s="87" t="inlineStr">
        <is>
          <t>T.I</t>
        </is>
      </c>
      <c r="H188" s="88" t="n">
        <v>485</v>
      </c>
    </row>
    <row r="189">
      <c r="A189" s="87" t="inlineStr">
        <is>
          <t>Mar/26</t>
        </is>
      </c>
      <c r="B189" s="87" t="inlineStr">
        <is>
          <t>25/03/2026</t>
        </is>
      </c>
      <c r="C189" s="87" t="inlineStr">
        <is>
          <t>WEB MOBILE TELECOM LTDA</t>
        </is>
      </c>
      <c r="D189" s="87" t="inlineStr">
        <is>
          <t>NFS.1500</t>
        </is>
      </c>
      <c r="E189" s="87" t="inlineStr">
        <is>
          <t>102432/1</t>
        </is>
      </c>
      <c r="F189" s="87" t="inlineStr">
        <is>
          <t>Tetus</t>
        </is>
      </c>
      <c r="G189" s="87" t="inlineStr">
        <is>
          <t>T.I</t>
        </is>
      </c>
      <c r="H189" s="88" t="n">
        <v>75</v>
      </c>
    </row>
    <row r="190">
      <c r="A190" s="87" t="inlineStr">
        <is>
          <t>Mar/26</t>
        </is>
      </c>
      <c r="B190" s="87" t="inlineStr">
        <is>
          <t>25/03/2026</t>
        </is>
      </c>
      <c r="C190" s="87" t="inlineStr">
        <is>
          <t>WEB MOBILE TELECOM LTDA</t>
        </is>
      </c>
      <c r="D190" s="87" t="inlineStr">
        <is>
          <t>NFS.1534</t>
        </is>
      </c>
      <c r="E190" s="87" t="inlineStr">
        <is>
          <t>102434/1</t>
        </is>
      </c>
      <c r="F190" s="87" t="inlineStr">
        <is>
          <t>Tetus</t>
        </is>
      </c>
      <c r="G190" s="87" t="inlineStr">
        <is>
          <t>T.I</t>
        </is>
      </c>
      <c r="H190" s="88" t="n">
        <v>150</v>
      </c>
    </row>
    <row r="191">
      <c r="A191" s="87" t="inlineStr">
        <is>
          <t>Abr/26</t>
        </is>
      </c>
      <c r="B191" s="87" t="inlineStr">
        <is>
          <t>01/04/2026</t>
        </is>
      </c>
      <c r="C191" s="87" t="inlineStr">
        <is>
          <t>61.582.518 MIGUEL CLEPF PASSOS</t>
        </is>
      </c>
      <c r="D191" s="87" t="inlineStr">
        <is>
          <t>NFS.10</t>
        </is>
      </c>
      <c r="E191" s="87" t="inlineStr">
        <is>
          <t>102619/1</t>
        </is>
      </c>
      <c r="F191" s="87" t="inlineStr">
        <is>
          <t>Tetus</t>
        </is>
      </c>
      <c r="G191" s="87" t="inlineStr">
        <is>
          <t>Júridico</t>
        </is>
      </c>
      <c r="H191" s="88" t="n">
        <v>6750</v>
      </c>
    </row>
    <row r="192">
      <c r="A192" s="87" t="inlineStr">
        <is>
          <t>Abr/26</t>
        </is>
      </c>
      <c r="B192" s="87" t="inlineStr">
        <is>
          <t>15/04/2026</t>
        </is>
      </c>
      <c r="C192" s="87" t="inlineStr">
        <is>
          <t>ADAPTA EDUCACAO LTDA</t>
        </is>
      </c>
      <c r="D192" s="87" t="inlineStr">
        <is>
          <t>AV.4134643529</t>
        </is>
      </c>
      <c r="E192" s="87" t="inlineStr">
        <is>
          <t>89562/6</t>
        </is>
      </c>
      <c r="F192" s="87" t="inlineStr">
        <is>
          <t>Tetus</t>
        </is>
      </c>
      <c r="G192" s="87" t="inlineStr">
        <is>
          <t>Júridico</t>
        </is>
      </c>
      <c r="H192" s="88" t="n">
        <v>575</v>
      </c>
    </row>
    <row r="193">
      <c r="A193" s="87" t="inlineStr">
        <is>
          <t>Abr/26</t>
        </is>
      </c>
      <c r="B193" s="87" t="inlineStr">
        <is>
          <t>01/04/2026</t>
        </is>
      </c>
      <c r="C193" s="87" t="inlineStr">
        <is>
          <t>CARNEIRO RABELO SOCIEDADE INDIVIDUAL DE ADVOCACIA</t>
        </is>
      </c>
      <c r="D193" s="87" t="inlineStr">
        <is>
          <t>NFS.62</t>
        </is>
      </c>
      <c r="E193" s="87" t="inlineStr">
        <is>
          <t>102795/1</t>
        </is>
      </c>
      <c r="F193" s="87" t="inlineStr">
        <is>
          <t>Tetus</t>
        </is>
      </c>
      <c r="G193" s="87" t="inlineStr">
        <is>
          <t>Júridico</t>
        </is>
      </c>
      <c r="H193" s="88" t="n">
        <v>17632.15</v>
      </c>
    </row>
    <row r="194">
      <c r="A194" s="87" t="inlineStr">
        <is>
          <t>Abr/26</t>
        </is>
      </c>
      <c r="B194" s="87" t="inlineStr">
        <is>
          <t>29/04/2026</t>
        </is>
      </c>
      <c r="C194" s="87" t="inlineStr">
        <is>
          <t>CLARO S.A.</t>
        </is>
      </c>
      <c r="D194" s="87" t="inlineStr">
        <is>
          <t>FAT.8910315</t>
        </is>
      </c>
      <c r="E194" s="87" t="inlineStr">
        <is>
          <t>105607/1</t>
        </is>
      </c>
      <c r="F194" s="87" t="inlineStr">
        <is>
          <t>Tetus</t>
        </is>
      </c>
      <c r="G194" s="87" t="inlineStr">
        <is>
          <t>T.I</t>
        </is>
      </c>
      <c r="H194" s="88" t="n">
        <v>11.99</v>
      </c>
    </row>
    <row r="195">
      <c r="A195" s="87" t="inlineStr">
        <is>
          <t>Abr/26</t>
        </is>
      </c>
      <c r="B195" s="87" t="inlineStr">
        <is>
          <t>29/04/2026</t>
        </is>
      </c>
      <c r="C195" s="87" t="inlineStr">
        <is>
          <t>CLARO S.A.</t>
        </is>
      </c>
      <c r="D195" s="87" t="inlineStr">
        <is>
          <t>FAT.13443658</t>
        </is>
      </c>
      <c r="E195" s="87" t="inlineStr">
        <is>
          <t>105676/1</t>
        </is>
      </c>
      <c r="F195" s="87" t="inlineStr">
        <is>
          <t>Tetus</t>
        </is>
      </c>
      <c r="G195" s="87" t="inlineStr">
        <is>
          <t>T.I</t>
        </is>
      </c>
      <c r="H195" s="88" t="n">
        <v>557.63</v>
      </c>
    </row>
    <row r="196">
      <c r="A196" s="87" t="inlineStr">
        <is>
          <t>Abr/26</t>
        </is>
      </c>
      <c r="B196" s="87" t="inlineStr">
        <is>
          <t>29/04/2026</t>
        </is>
      </c>
      <c r="C196" s="87" t="inlineStr">
        <is>
          <t>CLARO S.A.</t>
        </is>
      </c>
      <c r="D196" s="87" t="inlineStr">
        <is>
          <t>FAT.13443664</t>
        </is>
      </c>
      <c r="E196" s="87" t="inlineStr">
        <is>
          <t>105677/1</t>
        </is>
      </c>
      <c r="F196" s="87" t="inlineStr">
        <is>
          <t>Tetus</t>
        </is>
      </c>
      <c r="G196" s="87" t="inlineStr">
        <is>
          <t>T.I</t>
        </is>
      </c>
      <c r="H196" s="88" t="n">
        <v>132.09</v>
      </c>
    </row>
    <row r="197">
      <c r="A197" s="87" t="inlineStr">
        <is>
          <t>Abr/26</t>
        </is>
      </c>
      <c r="B197" s="87" t="inlineStr">
        <is>
          <t>30/04/2026</t>
        </is>
      </c>
      <c r="C197" s="87" t="inlineStr">
        <is>
          <t>CLARO S.A.</t>
        </is>
      </c>
      <c r="D197" s="87" t="inlineStr">
        <is>
          <t>FAT.13443112</t>
        </is>
      </c>
      <c r="E197" s="87" t="inlineStr">
        <is>
          <t>105792/1</t>
        </is>
      </c>
      <c r="F197" s="87" t="inlineStr">
        <is>
          <t>Tetus</t>
        </is>
      </c>
      <c r="G197" s="87" t="inlineStr">
        <is>
          <t>T.I</t>
        </is>
      </c>
      <c r="H197" s="88" t="n">
        <v>20.23</v>
      </c>
    </row>
    <row r="198">
      <c r="A198" s="87" t="inlineStr">
        <is>
          <t>Abr/26</t>
        </is>
      </c>
      <c r="B198" s="87" t="inlineStr">
        <is>
          <t>24/04/2026</t>
        </is>
      </c>
      <c r="C198" s="87" t="inlineStr">
        <is>
          <t>CLICKSIGN GESTAO DE DOCUMENTOS S/A</t>
        </is>
      </c>
      <c r="D198" s="87" t="inlineStr">
        <is>
          <t>NFS.481685</t>
        </is>
      </c>
      <c r="E198" s="87" t="inlineStr">
        <is>
          <t>105389/1</t>
        </is>
      </c>
      <c r="F198" s="87" t="inlineStr">
        <is>
          <t>Tetus</t>
        </is>
      </c>
      <c r="G198" s="87" t="inlineStr">
        <is>
          <t>Júridico</t>
        </is>
      </c>
      <c r="H198" s="88" t="n">
        <v>445.04</v>
      </c>
    </row>
    <row r="199">
      <c r="A199" s="87" t="inlineStr">
        <is>
          <t>Abr/26</t>
        </is>
      </c>
      <c r="B199" s="87" t="inlineStr">
        <is>
          <t>09/04/2026</t>
        </is>
      </c>
      <c r="C199" s="87" t="inlineStr">
        <is>
          <t>Cristiane Carneiro Rabelo</t>
        </is>
      </c>
      <c r="D199" s="87" t="inlineStr">
        <is>
          <t>CX.13.01.26</t>
        </is>
      </c>
      <c r="E199" s="87" t="inlineStr">
        <is>
          <t>104219/1</t>
        </is>
      </c>
      <c r="F199" s="87" t="inlineStr">
        <is>
          <t>Tetus</t>
        </is>
      </c>
      <c r="G199" s="87" t="inlineStr">
        <is>
          <t>Júridico</t>
        </is>
      </c>
      <c r="H199" s="88" t="n">
        <v>178.82</v>
      </c>
    </row>
    <row r="200">
      <c r="A200" s="87" t="inlineStr">
        <is>
          <t>Abr/26</t>
        </is>
      </c>
      <c r="B200" s="87" t="inlineStr">
        <is>
          <t>19/04/2026</t>
        </is>
      </c>
      <c r="C200" s="87" t="inlineStr">
        <is>
          <t>Cristiane Carneiro Rabelo</t>
        </is>
      </c>
      <c r="D200" s="87" t="inlineStr">
        <is>
          <t>CX.09.04.26</t>
        </is>
      </c>
      <c r="E200" s="87" t="inlineStr">
        <is>
          <t>104217/1</t>
        </is>
      </c>
      <c r="F200" s="87" t="inlineStr">
        <is>
          <t>Tetus</t>
        </is>
      </c>
      <c r="G200" s="87" t="inlineStr">
        <is>
          <t>Júridico</t>
        </is>
      </c>
      <c r="H200" s="88" t="n">
        <v>2155.5</v>
      </c>
    </row>
    <row r="201">
      <c r="A201" s="87" t="inlineStr">
        <is>
          <t>Abr/26</t>
        </is>
      </c>
      <c r="B201" s="87" t="inlineStr">
        <is>
          <t>19/04/2026</t>
        </is>
      </c>
      <c r="C201" s="87" t="inlineStr">
        <is>
          <t>Cristiane Carneiro Rabelo</t>
        </is>
      </c>
      <c r="D201" s="87" t="inlineStr">
        <is>
          <t>CX.782314</t>
        </is>
      </c>
      <c r="E201" s="87" t="inlineStr">
        <is>
          <t>104221/1</t>
        </is>
      </c>
      <c r="F201" s="87" t="inlineStr">
        <is>
          <t>Tetus</t>
        </is>
      </c>
      <c r="G201" s="87" t="inlineStr">
        <is>
          <t>Júridico</t>
        </is>
      </c>
      <c r="H201" s="88" t="n">
        <v>440</v>
      </c>
    </row>
    <row r="202">
      <c r="A202" s="87" t="inlineStr">
        <is>
          <t>Abr/26</t>
        </is>
      </c>
      <c r="B202" s="87" t="inlineStr">
        <is>
          <t>07/04/2026</t>
        </is>
      </c>
      <c r="C202" s="87" t="inlineStr">
        <is>
          <t>EDITORA E DISTRIBUIDORA EDUCACIONAL S/A</t>
        </is>
      </c>
      <c r="D202" s="87" t="inlineStr">
        <is>
          <t>AV.MENSALIDADE 26</t>
        </is>
      </c>
      <c r="E202" s="87" t="inlineStr">
        <is>
          <t>94807/4</t>
        </is>
      </c>
      <c r="F202" s="87" t="inlineStr">
        <is>
          <t>Tetus</t>
        </is>
      </c>
      <c r="G202" s="87" t="inlineStr">
        <is>
          <t>Júridico</t>
        </is>
      </c>
      <c r="H202" s="88" t="n">
        <v>219.32</v>
      </c>
    </row>
    <row r="203">
      <c r="A203" s="87" t="inlineStr">
        <is>
          <t>Abr/26</t>
        </is>
      </c>
      <c r="B203" s="87" t="inlineStr">
        <is>
          <t>07/04/2026</t>
        </is>
      </c>
      <c r="C203" s="87" t="inlineStr">
        <is>
          <t>GEOVANA CAVALCANTI</t>
        </is>
      </c>
      <c r="D203" s="87" t="inlineStr">
        <is>
          <t>SAL.SAL 032026</t>
        </is>
      </c>
      <c r="E203" s="87" t="inlineStr">
        <is>
          <t>103883/1</t>
        </is>
      </c>
      <c r="F203" s="87" t="inlineStr">
        <is>
          <t>Tetus</t>
        </is>
      </c>
      <c r="G203" s="87" t="inlineStr">
        <is>
          <t>Júridico</t>
        </is>
      </c>
      <c r="H203" s="88" t="n">
        <v>869</v>
      </c>
    </row>
    <row r="204">
      <c r="A204" s="87" t="inlineStr">
        <is>
          <t>Abr/26</t>
        </is>
      </c>
      <c r="B204" s="87" t="inlineStr">
        <is>
          <t>20/04/2026</t>
        </is>
      </c>
      <c r="C204" s="87" t="inlineStr">
        <is>
          <t>GEOVANA CAVALCANTI</t>
        </is>
      </c>
      <c r="D204" s="87" t="inlineStr">
        <is>
          <t>SAL.vale 042026</t>
        </is>
      </c>
      <c r="E204" s="87" t="inlineStr">
        <is>
          <t>105017/1</t>
        </is>
      </c>
      <c r="F204" s="87" t="inlineStr">
        <is>
          <t>Tetus</t>
        </is>
      </c>
      <c r="G204" s="87" t="inlineStr">
        <is>
          <t>Júridico</t>
        </is>
      </c>
      <c r="H204" s="88" t="n">
        <v>886</v>
      </c>
    </row>
    <row r="205">
      <c r="A205" s="87" t="inlineStr">
        <is>
          <t>Abr/26</t>
        </is>
      </c>
      <c r="B205" s="87" t="inlineStr">
        <is>
          <t>15/04/2026</t>
        </is>
      </c>
      <c r="C205" s="87" t="inlineStr">
        <is>
          <t>GOSHME SOLUCOES PARA A INTERNET LTDA</t>
        </is>
      </c>
      <c r="D205" s="87" t="inlineStr">
        <is>
          <t>AV.jusbrasil 03.26</t>
        </is>
      </c>
      <c r="E205" s="87" t="inlineStr">
        <is>
          <t>101006/1</t>
        </is>
      </c>
      <c r="F205" s="87" t="inlineStr">
        <is>
          <t>Tetus</t>
        </is>
      </c>
      <c r="G205" s="87" t="inlineStr">
        <is>
          <t>Júridico</t>
        </is>
      </c>
      <c r="H205" s="88" t="n">
        <v>136.4</v>
      </c>
    </row>
    <row r="206">
      <c r="A206" s="87" t="inlineStr">
        <is>
          <t>Abr/26</t>
        </is>
      </c>
      <c r="B206" s="87" t="inlineStr">
        <is>
          <t>30/04/2026</t>
        </is>
      </c>
      <c r="C206" s="87" t="inlineStr">
        <is>
          <t>INTELBRAS S.A. INDUSTRIA DE TELECOMUNICACAO ELETRONICA BRASILEIRA</t>
        </is>
      </c>
      <c r="D206" s="87" t="inlineStr">
        <is>
          <t>NFS.363799</t>
        </is>
      </c>
      <c r="E206" s="87" t="inlineStr">
        <is>
          <t>104634/1</t>
        </is>
      </c>
      <c r="F206" s="87" t="inlineStr">
        <is>
          <t>Tetus</t>
        </is>
      </c>
      <c r="G206" s="87" t="inlineStr">
        <is>
          <t>T.I</t>
        </is>
      </c>
      <c r="H206" s="88" t="n">
        <v>79.59999999999999</v>
      </c>
    </row>
    <row r="207">
      <c r="A207" s="87" t="inlineStr">
        <is>
          <t>Abr/26</t>
        </is>
      </c>
      <c r="B207" s="87" t="inlineStr">
        <is>
          <t>20/04/2026</t>
        </is>
      </c>
      <c r="C207" s="87" t="inlineStr">
        <is>
          <t>LEME INTELIGENCIA FORENSE E CONSULTORIA EMPRESARIAL LTDA</t>
        </is>
      </c>
      <c r="D207" s="87" t="inlineStr">
        <is>
          <t>NFS.20152</t>
        </is>
      </c>
      <c r="E207" s="87" t="inlineStr">
        <is>
          <t>104561/1</t>
        </is>
      </c>
      <c r="F207" s="87" t="inlineStr">
        <is>
          <t>Tetus</t>
        </is>
      </c>
      <c r="G207" s="87" t="inlineStr">
        <is>
          <t>Júridico</t>
        </is>
      </c>
      <c r="H207" s="88" t="n">
        <v>720.1</v>
      </c>
    </row>
    <row r="208">
      <c r="A208" s="87" t="inlineStr">
        <is>
          <t>Abr/26</t>
        </is>
      </c>
      <c r="B208" s="87" t="inlineStr">
        <is>
          <t>25/04/2026</t>
        </is>
      </c>
      <c r="C208" s="87" t="inlineStr">
        <is>
          <t>LOCAWEB SERVICOS DE INTERNET S/A</t>
        </is>
      </c>
      <c r="D208" s="87" t="inlineStr">
        <is>
          <t>BOL.04.26</t>
        </is>
      </c>
      <c r="E208" s="87" t="inlineStr">
        <is>
          <t>104820/1</t>
        </is>
      </c>
      <c r="F208" s="87" t="inlineStr">
        <is>
          <t>Tetus</t>
        </is>
      </c>
      <c r="G208" s="87" t="inlineStr">
        <is>
          <t>T.I</t>
        </is>
      </c>
      <c r="H208" s="88" t="n">
        <v>1024.76</v>
      </c>
    </row>
    <row r="209">
      <c r="A209" s="87" t="inlineStr">
        <is>
          <t>Abr/26</t>
        </is>
      </c>
      <c r="B209" s="87" t="inlineStr">
        <is>
          <t>30/04/2026</t>
        </is>
      </c>
      <c r="C209" s="87" t="inlineStr">
        <is>
          <t>LOCAWEB SERVICOS DE INTERNET S/A</t>
        </is>
      </c>
      <c r="D209" s="87" t="inlineStr">
        <is>
          <t>BOL.LOCAWEB 29.04.26</t>
        </is>
      </c>
      <c r="E209" s="87" t="inlineStr">
        <is>
          <t>106325/1</t>
        </is>
      </c>
      <c r="F209" s="87" t="inlineStr">
        <is>
          <t>Tetus</t>
        </is>
      </c>
      <c r="G209" s="87" t="inlineStr">
        <is>
          <t>T.I</t>
        </is>
      </c>
      <c r="H209" s="88" t="n">
        <v>21.76</v>
      </c>
    </row>
    <row r="210">
      <c r="A210" s="87" t="inlineStr">
        <is>
          <t>Abr/26</t>
        </is>
      </c>
      <c r="B210" s="87" t="inlineStr">
        <is>
          <t>09/04/2026</t>
        </is>
      </c>
      <c r="C210" s="87" t="inlineStr">
        <is>
          <t>MICHELE DE OLIVEIRA SILVA</t>
        </is>
      </c>
      <c r="D210" s="87" t="inlineStr">
        <is>
          <t>HON.HON_909A TAMIRIS</t>
        </is>
      </c>
      <c r="E210" s="87" t="inlineStr">
        <is>
          <t>59781/15</t>
        </is>
      </c>
      <c r="F210" s="87" t="inlineStr">
        <is>
          <t>Padre Eugênio</t>
        </is>
      </c>
      <c r="G210" s="87" t="inlineStr">
        <is>
          <t>Júridico</t>
        </is>
      </c>
      <c r="H210" s="88" t="n">
        <v>66.06</v>
      </c>
    </row>
    <row r="211">
      <c r="A211" s="87" t="inlineStr">
        <is>
          <t>Abr/26</t>
        </is>
      </c>
      <c r="B211" s="87" t="inlineStr">
        <is>
          <t>09/04/2026</t>
        </is>
      </c>
      <c r="C211" s="87" t="inlineStr">
        <is>
          <t>MICHELE DE OLIVEIRA SILVA</t>
        </is>
      </c>
      <c r="D211" s="87" t="inlineStr">
        <is>
          <t>AV.HON_1310A</t>
        </is>
      </c>
      <c r="E211" s="87" t="inlineStr">
        <is>
          <t>81462/9</t>
        </is>
      </c>
      <c r="F211" s="87" t="inlineStr">
        <is>
          <t>Padre Eugênio</t>
        </is>
      </c>
      <c r="G211" s="87" t="inlineStr">
        <is>
          <t>Júridico</t>
        </is>
      </c>
      <c r="H211" s="88" t="n">
        <v>144.34</v>
      </c>
    </row>
    <row r="212">
      <c r="A212" s="87" t="inlineStr">
        <is>
          <t>Abr/26</t>
        </is>
      </c>
      <c r="B212" s="87" t="inlineStr">
        <is>
          <t>09/04/2026</t>
        </is>
      </c>
      <c r="C212" s="87" t="inlineStr">
        <is>
          <t>MICHELE DE OLIVEIRA SILVA</t>
        </is>
      </c>
      <c r="D212" s="87" t="inlineStr">
        <is>
          <t>AV.HON_802A</t>
        </is>
      </c>
      <c r="E212" s="87" t="inlineStr">
        <is>
          <t>89206/6</t>
        </is>
      </c>
      <c r="F212" s="87" t="inlineStr">
        <is>
          <t>Padre Eugênio</t>
        </is>
      </c>
      <c r="G212" s="87" t="inlineStr">
        <is>
          <t>Júridico</t>
        </is>
      </c>
      <c r="H212" s="88" t="n">
        <v>116.62</v>
      </c>
    </row>
    <row r="213">
      <c r="A213" s="87" t="inlineStr">
        <is>
          <t>Abr/26</t>
        </is>
      </c>
      <c r="B213" s="87" t="inlineStr">
        <is>
          <t>09/04/2026</t>
        </is>
      </c>
      <c r="C213" s="87" t="inlineStr">
        <is>
          <t>MICHELE DE OLIVEIRA SILVA</t>
        </is>
      </c>
      <c r="D213" s="87" t="inlineStr">
        <is>
          <t>AV.HONORARIOS_1008B</t>
        </is>
      </c>
      <c r="E213" s="87" t="inlineStr">
        <is>
          <t>92298/5</t>
        </is>
      </c>
      <c r="F213" s="87" t="inlineStr">
        <is>
          <t>Padre Eugênio</t>
        </is>
      </c>
      <c r="G213" s="87" t="inlineStr">
        <is>
          <t>Júridico</t>
        </is>
      </c>
      <c r="H213" s="88" t="n">
        <v>42.28</v>
      </c>
    </row>
    <row r="214">
      <c r="A214" s="87" t="inlineStr">
        <is>
          <t>Abr/26</t>
        </is>
      </c>
      <c r="B214" s="87" t="inlineStr">
        <is>
          <t>09/04/2026</t>
        </is>
      </c>
      <c r="C214" s="87" t="inlineStr">
        <is>
          <t>MICHELE DE OLIVEIRA SILVA</t>
        </is>
      </c>
      <c r="D214" s="87" t="inlineStr">
        <is>
          <t>AV.HONORARIOS 806A</t>
        </is>
      </c>
      <c r="E214" s="87" t="inlineStr">
        <is>
          <t>94835/2</t>
        </is>
      </c>
      <c r="F214" s="87" t="inlineStr">
        <is>
          <t>Padre Eugênio</t>
        </is>
      </c>
      <c r="G214" s="87" t="inlineStr">
        <is>
          <t>Júridico</t>
        </is>
      </c>
      <c r="H214" s="88" t="n">
        <v>90.18000000000001</v>
      </c>
    </row>
    <row r="215">
      <c r="A215" s="87" t="inlineStr">
        <is>
          <t>Abr/26</t>
        </is>
      </c>
      <c r="B215" s="87" t="inlineStr">
        <is>
          <t>09/04/2026</t>
        </is>
      </c>
      <c r="C215" s="87" t="inlineStr">
        <is>
          <t>MICHELE DE OLIVEIRA SILVA</t>
        </is>
      </c>
      <c r="D215" s="87" t="inlineStr">
        <is>
          <t>AV.HON. 304C VERANO</t>
        </is>
      </c>
      <c r="E215" s="87" t="inlineStr">
        <is>
          <t>78609/10</t>
        </is>
      </c>
      <c r="F215" s="87" t="inlineStr">
        <is>
          <t>San Marino</t>
        </is>
      </c>
      <c r="G215" s="87" t="inlineStr">
        <is>
          <t>Júridico</t>
        </is>
      </c>
      <c r="H215" s="88" t="n">
        <v>234.31</v>
      </c>
    </row>
    <row r="216">
      <c r="A216" s="87" t="inlineStr">
        <is>
          <t>Abr/26</t>
        </is>
      </c>
      <c r="B216" s="87" t="inlineStr">
        <is>
          <t>09/04/2026</t>
        </is>
      </c>
      <c r="C216" s="87" t="inlineStr">
        <is>
          <t>MICHELE DE OLIVEIRA SILVA</t>
        </is>
      </c>
      <c r="D216" s="87" t="inlineStr">
        <is>
          <t>AV.HONORARIOS 406B</t>
        </is>
      </c>
      <c r="E216" s="87" t="inlineStr">
        <is>
          <t>94390/4</t>
        </is>
      </c>
      <c r="F216" s="87" t="inlineStr">
        <is>
          <t>San Marino</t>
        </is>
      </c>
      <c r="G216" s="87" t="inlineStr">
        <is>
          <t>Júridico</t>
        </is>
      </c>
      <c r="H216" s="88" t="n">
        <v>96.09999999999999</v>
      </c>
    </row>
    <row r="217">
      <c r="A217" s="87" t="inlineStr">
        <is>
          <t>Abr/26</t>
        </is>
      </c>
      <c r="B217" s="87" t="inlineStr">
        <is>
          <t>09/04/2026</t>
        </is>
      </c>
      <c r="C217" s="87" t="inlineStr">
        <is>
          <t>MICHELE DE OLIVEIRA SILVA</t>
        </is>
      </c>
      <c r="D217" s="87" t="inlineStr">
        <is>
          <t>HON.HON. PROCESSO 1404B</t>
        </is>
      </c>
      <c r="E217" s="87" t="inlineStr">
        <is>
          <t>95170/5</t>
        </is>
      </c>
      <c r="F217" s="87" t="inlineStr">
        <is>
          <t>San Marino</t>
        </is>
      </c>
      <c r="G217" s="87" t="inlineStr">
        <is>
          <t>Júridico</t>
        </is>
      </c>
      <c r="H217" s="88" t="n">
        <v>199.12</v>
      </c>
    </row>
    <row r="218">
      <c r="A218" s="87" t="inlineStr">
        <is>
          <t>Abr/26</t>
        </is>
      </c>
      <c r="B218" s="87" t="inlineStr">
        <is>
          <t>05/04/2026</t>
        </is>
      </c>
      <c r="C218" s="87" t="inlineStr">
        <is>
          <t>MICHELE DE OLIVEIRA SILVA</t>
        </is>
      </c>
      <c r="D218" s="87" t="inlineStr">
        <is>
          <t>REC.RecibosMichele_2026</t>
        </is>
      </c>
      <c r="E218" s="87" t="inlineStr">
        <is>
          <t>96274/4</t>
        </is>
      </c>
      <c r="F218" s="87" t="inlineStr">
        <is>
          <t>Tetus</t>
        </is>
      </c>
      <c r="G218" s="87" t="inlineStr">
        <is>
          <t>Júridico</t>
        </is>
      </c>
      <c r="H218" s="88" t="n">
        <v>2750</v>
      </c>
    </row>
    <row r="219">
      <c r="A219" s="87" t="inlineStr">
        <is>
          <t>Abr/26</t>
        </is>
      </c>
      <c r="B219" s="87" t="inlineStr">
        <is>
          <t>15/04/2026</t>
        </is>
      </c>
      <c r="C219" s="87" t="inlineStr">
        <is>
          <t>OPENAI BRAZIL LIMITADA</t>
        </is>
      </c>
      <c r="D219" s="87" t="inlineStr">
        <is>
          <t>FAT.CHATGPT 3 LIC</t>
        </is>
      </c>
      <c r="E219" s="87" t="inlineStr">
        <is>
          <t>102137/1</t>
        </is>
      </c>
      <c r="F219" s="87" t="inlineStr">
        <is>
          <t>Tetus</t>
        </is>
      </c>
      <c r="G219" s="87" t="inlineStr">
        <is>
          <t>T.I</t>
        </is>
      </c>
      <c r="H219" s="88" t="n">
        <v>5393.88</v>
      </c>
    </row>
    <row r="220">
      <c r="A220" s="87" t="inlineStr">
        <is>
          <t>Abr/26</t>
        </is>
      </c>
      <c r="B220" s="87" t="inlineStr">
        <is>
          <t>13/04/2026</t>
        </is>
      </c>
      <c r="C220" s="87" t="inlineStr">
        <is>
          <t>OPERADOR NACIONAL DO SISTEMA DE REGISTRO ELETRONICO DE IMOVEIS ( ONR )</t>
        </is>
      </c>
      <c r="D220" s="87" t="inlineStr">
        <is>
          <t>AV.95636_matr</t>
        </is>
      </c>
      <c r="E220" s="87" t="inlineStr">
        <is>
          <t>104519/1</t>
        </is>
      </c>
      <c r="F220" s="87" t="inlineStr">
        <is>
          <t>Padre Eugênio</t>
        </is>
      </c>
      <c r="G220" s="87" t="inlineStr">
        <is>
          <t>Júridico</t>
        </is>
      </c>
      <c r="H220" s="88" t="n">
        <v>77.89</v>
      </c>
    </row>
    <row r="221">
      <c r="A221" s="87" t="inlineStr">
        <is>
          <t>Abr/26</t>
        </is>
      </c>
      <c r="B221" s="87" t="inlineStr">
        <is>
          <t>28/04/2026</t>
        </is>
      </c>
      <c r="C221" s="87" t="inlineStr">
        <is>
          <t>OPERADOR NACIONAL DO SISTEMA DE REGISTRO ELETRONICO DE IMOVEIS ( ONR )</t>
        </is>
      </c>
      <c r="D221" s="87" t="inlineStr">
        <is>
          <t>AV.AV Prem. Sn Mari</t>
        </is>
      </c>
      <c r="E221" s="87" t="inlineStr">
        <is>
          <t>106279/1</t>
        </is>
      </c>
      <c r="F221" s="87" t="inlineStr">
        <is>
          <t>San Marino</t>
        </is>
      </c>
      <c r="G221" s="87" t="inlineStr">
        <is>
          <t>Júridico</t>
        </is>
      </c>
      <c r="H221" s="88" t="n">
        <v>37.09</v>
      </c>
    </row>
    <row r="222">
      <c r="A222" s="87" t="inlineStr">
        <is>
          <t>Abr/26</t>
        </is>
      </c>
      <c r="B222" s="87" t="inlineStr">
        <is>
          <t>18/04/2026</t>
        </is>
      </c>
      <c r="C222" s="87" t="inlineStr">
        <is>
          <t>PAULO ROBERTO DE SOUZA 03565732652</t>
        </is>
      </c>
      <c r="D222" s="87" t="inlineStr">
        <is>
          <t>NFS.248</t>
        </is>
      </c>
      <c r="E222" s="87" t="inlineStr">
        <is>
          <t>104437/1</t>
        </is>
      </c>
      <c r="F222" s="87" t="inlineStr">
        <is>
          <t>Tetus</t>
        </is>
      </c>
      <c r="G222" s="87" t="inlineStr">
        <is>
          <t>Júridico</t>
        </is>
      </c>
      <c r="H222" s="88" t="n">
        <v>272.5</v>
      </c>
    </row>
    <row r="223">
      <c r="A223" s="87" t="inlineStr">
        <is>
          <t>Abr/26</t>
        </is>
      </c>
      <c r="B223" s="87" t="inlineStr">
        <is>
          <t>16/04/2026</t>
        </is>
      </c>
      <c r="C223" s="87" t="inlineStr">
        <is>
          <t>SAO PAULO TRIBUNAL DE JUSTICA</t>
        </is>
      </c>
      <c r="D223" s="87" t="inlineStr">
        <is>
          <t>AV.Int. Pronto Eng 2</t>
        </is>
      </c>
      <c r="E223" s="87" t="inlineStr">
        <is>
          <t>104205/1</t>
        </is>
      </c>
      <c r="F223" s="87" t="inlineStr">
        <is>
          <t>Alencar Mazzeo</t>
        </is>
      </c>
      <c r="G223" s="87" t="inlineStr">
        <is>
          <t>Júridico</t>
        </is>
      </c>
      <c r="H223" s="88" t="n">
        <v>34.35</v>
      </c>
    </row>
    <row r="224">
      <c r="A224" s="87" t="inlineStr">
        <is>
          <t>Abr/26</t>
        </is>
      </c>
      <c r="B224" s="87" t="inlineStr">
        <is>
          <t>02/04/2026</t>
        </is>
      </c>
      <c r="C224" s="87" t="inlineStr">
        <is>
          <t>SAO PAULO TRIBUNAL DE JUSTICA</t>
        </is>
      </c>
      <c r="D224" s="87" t="inlineStr">
        <is>
          <t>AV.C. Comp. 302 B Auror</t>
        </is>
      </c>
      <c r="E224" s="87" t="inlineStr">
        <is>
          <t>101983/1</t>
        </is>
      </c>
      <c r="F224" s="87" t="inlineStr">
        <is>
          <t>Padre Eugênio</t>
        </is>
      </c>
      <c r="G224" s="87" t="inlineStr">
        <is>
          <t>Júridico</t>
        </is>
      </c>
      <c r="H224" s="88" t="n">
        <v>243.98</v>
      </c>
    </row>
    <row r="225">
      <c r="A225" s="87" t="inlineStr">
        <is>
          <t>Abr/26</t>
        </is>
      </c>
      <c r="B225" s="87" t="inlineStr">
        <is>
          <t>23/04/2026</t>
        </is>
      </c>
      <c r="C225" s="87" t="inlineStr">
        <is>
          <t>SAO PAULO TRIBUNAL DE JUSTICA</t>
        </is>
      </c>
      <c r="D225" s="87" t="inlineStr">
        <is>
          <t>AV.1009A_A_</t>
        </is>
      </c>
      <c r="E225" s="87" t="inlineStr">
        <is>
          <t>104073/1</t>
        </is>
      </c>
      <c r="F225" s="87" t="inlineStr">
        <is>
          <t>Padre Eugênio</t>
        </is>
      </c>
      <c r="G225" s="87" t="inlineStr">
        <is>
          <t>Júridico</t>
        </is>
      </c>
      <c r="H225" s="88" t="n">
        <v>37.02</v>
      </c>
    </row>
    <row r="226">
      <c r="A226" s="87" t="inlineStr">
        <is>
          <t>Abr/26</t>
        </is>
      </c>
      <c r="B226" s="87" t="inlineStr">
        <is>
          <t>16/04/2026</t>
        </is>
      </c>
      <c r="C226" s="87" t="inlineStr">
        <is>
          <t>SAO PAULO TRIBUNAL DE JUSTICA</t>
        </is>
      </c>
      <c r="D226" s="87" t="inlineStr">
        <is>
          <t>AV.509B_A</t>
        </is>
      </c>
      <c r="E226" s="87" t="inlineStr">
        <is>
          <t>103944/1</t>
        </is>
      </c>
      <c r="F226" s="87" t="inlineStr">
        <is>
          <t>Padre Eugênio</t>
        </is>
      </c>
      <c r="G226" s="87" t="inlineStr">
        <is>
          <t>Júridico</t>
        </is>
      </c>
      <c r="H226" s="88" t="n">
        <v>192.1</v>
      </c>
    </row>
    <row r="227">
      <c r="A227" s="87" t="inlineStr">
        <is>
          <t>Abr/26</t>
        </is>
      </c>
      <c r="B227" s="87" t="inlineStr">
        <is>
          <t>17/04/2026</t>
        </is>
      </c>
      <c r="C227" s="87" t="inlineStr">
        <is>
          <t>SAO PAULO TRIBUNAL DE JUSTICA</t>
        </is>
      </c>
      <c r="D227" s="87" t="inlineStr">
        <is>
          <t>AV.Sisbajud 301 B Veran</t>
        </is>
      </c>
      <c r="E227" s="87" t="inlineStr">
        <is>
          <t>104394/1</t>
        </is>
      </c>
      <c r="F227" s="87" t="inlineStr">
        <is>
          <t>San Marino</t>
        </is>
      </c>
      <c r="G227" s="87" t="inlineStr">
        <is>
          <t>Júridico</t>
        </is>
      </c>
      <c r="H227" s="88" t="n">
        <v>115.26</v>
      </c>
    </row>
    <row r="228">
      <c r="A228" s="87" t="inlineStr">
        <is>
          <t>Abr/26</t>
        </is>
      </c>
      <c r="B228" s="87" t="inlineStr">
        <is>
          <t>17/04/2026</t>
        </is>
      </c>
      <c r="C228" s="87" t="inlineStr">
        <is>
          <t>SAO PAULO TRIBUNAL DE JUSTICA</t>
        </is>
      </c>
      <c r="D228" s="87" t="inlineStr">
        <is>
          <t>AV.Ren Ser. Verano 301B</t>
        </is>
      </c>
      <c r="E228" s="87" t="inlineStr">
        <is>
          <t>104395/1</t>
        </is>
      </c>
      <c r="F228" s="87" t="inlineStr">
        <is>
          <t>San Marino</t>
        </is>
      </c>
      <c r="G228" s="87" t="inlineStr">
        <is>
          <t>Júridico</t>
        </is>
      </c>
      <c r="H228" s="88" t="n">
        <v>115.26</v>
      </c>
    </row>
    <row r="229">
      <c r="A229" s="87" t="inlineStr">
        <is>
          <t>Abr/26</t>
        </is>
      </c>
      <c r="B229" s="87" t="inlineStr">
        <is>
          <t>23/04/2026</t>
        </is>
      </c>
      <c r="C229" s="87" t="inlineStr">
        <is>
          <t>SAO PAULO TRIBUNAL DE JUSTICA</t>
        </is>
      </c>
      <c r="D229" s="87" t="inlineStr">
        <is>
          <t>AV.Cust. 301 B Verno</t>
        </is>
      </c>
      <c r="E229" s="87" t="inlineStr">
        <is>
          <t>104383/1</t>
        </is>
      </c>
      <c r="F229" s="87" t="inlineStr">
        <is>
          <t>San Marino</t>
        </is>
      </c>
      <c r="G229" s="87" t="inlineStr">
        <is>
          <t>Júridico</t>
        </is>
      </c>
      <c r="H229" s="88" t="n">
        <v>226.79</v>
      </c>
    </row>
    <row r="230">
      <c r="A230" s="87" t="inlineStr">
        <is>
          <t>Abr/26</t>
        </is>
      </c>
      <c r="B230" s="87" t="inlineStr">
        <is>
          <t>23/04/2026</t>
        </is>
      </c>
      <c r="C230" s="87" t="inlineStr">
        <is>
          <t>SAO PAULO TRIBUNAL DE JUSTICA</t>
        </is>
      </c>
      <c r="D230" s="87" t="inlineStr">
        <is>
          <t>AV.Bloq. 001 A Ver</t>
        </is>
      </c>
      <c r="E230" s="87" t="inlineStr">
        <is>
          <t>105149/1</t>
        </is>
      </c>
      <c r="F230" s="87" t="inlineStr">
        <is>
          <t>San Marino</t>
        </is>
      </c>
      <c r="G230" s="87" t="inlineStr">
        <is>
          <t>Júridico</t>
        </is>
      </c>
      <c r="H230" s="88" t="n">
        <v>192.1</v>
      </c>
    </row>
    <row r="231">
      <c r="A231" s="87" t="inlineStr">
        <is>
          <t>Abr/26</t>
        </is>
      </c>
      <c r="B231" s="87" t="inlineStr">
        <is>
          <t>20/04/2026</t>
        </is>
      </c>
      <c r="C231" s="87" t="inlineStr">
        <is>
          <t>SAO PAULO TRIBUNAL DE JUSTICA</t>
        </is>
      </c>
      <c r="D231" s="87" t="inlineStr">
        <is>
          <t>AV.205B_V</t>
        </is>
      </c>
      <c r="E231" s="87" t="inlineStr">
        <is>
          <t>104410/1</t>
        </is>
      </c>
      <c r="F231" s="87" t="inlineStr">
        <is>
          <t>San Marino</t>
        </is>
      </c>
      <c r="G231" s="87" t="inlineStr">
        <is>
          <t>Júridico</t>
        </is>
      </c>
      <c r="H231" s="88" t="n">
        <v>226.45</v>
      </c>
    </row>
    <row r="232">
      <c r="A232" s="87" t="inlineStr">
        <is>
          <t>Abr/26</t>
        </is>
      </c>
      <c r="B232" s="87" t="inlineStr">
        <is>
          <t>29/04/2026</t>
        </is>
      </c>
      <c r="C232" s="87" t="inlineStr">
        <is>
          <t>SAO PAULO TRIBUNAL DE JUSTICA</t>
        </is>
      </c>
      <c r="D232" s="87" t="inlineStr">
        <is>
          <t>AV.205B_V_</t>
        </is>
      </c>
      <c r="E232" s="87" t="inlineStr">
        <is>
          <t>104411/1</t>
        </is>
      </c>
      <c r="F232" s="87" t="inlineStr">
        <is>
          <t>San Marino</t>
        </is>
      </c>
      <c r="G232" s="87" t="inlineStr">
        <is>
          <t>Júridico</t>
        </is>
      </c>
      <c r="H232" s="88" t="n">
        <v>1027.99</v>
      </c>
    </row>
    <row r="233">
      <c r="A233" s="87" t="inlineStr">
        <is>
          <t>Abr/26</t>
        </is>
      </c>
      <c r="B233" s="87" t="inlineStr">
        <is>
          <t>07/04/2026</t>
        </is>
      </c>
      <c r="C233" s="87" t="inlineStr">
        <is>
          <t>SAO PAULO TRIBUNAL DE JUSTICA</t>
        </is>
      </c>
      <c r="D233" s="87" t="inlineStr">
        <is>
          <t>AV.V_02C</t>
        </is>
      </c>
      <c r="E233" s="87" t="inlineStr">
        <is>
          <t>103192/1</t>
        </is>
      </c>
      <c r="F233" s="87" t="inlineStr">
        <is>
          <t>San Marino</t>
        </is>
      </c>
      <c r="G233" s="87" t="inlineStr">
        <is>
          <t>Júridico</t>
        </is>
      </c>
      <c r="H233" s="88" t="n">
        <v>192.1</v>
      </c>
    </row>
    <row r="234">
      <c r="A234" s="87" t="inlineStr">
        <is>
          <t>Abr/26</t>
        </is>
      </c>
      <c r="B234" s="87" t="inlineStr">
        <is>
          <t>16/04/2026</t>
        </is>
      </c>
      <c r="C234" s="87" t="inlineStr">
        <is>
          <t>SAO PAULO TRIBUNAL DE JUSTICA</t>
        </is>
      </c>
      <c r="D234" s="87" t="inlineStr">
        <is>
          <t>AV.105C_V_</t>
        </is>
      </c>
      <c r="E234" s="87" t="inlineStr">
        <is>
          <t>103936/1</t>
        </is>
      </c>
      <c r="F234" s="87" t="inlineStr">
        <is>
          <t>San Marino</t>
        </is>
      </c>
      <c r="G234" s="87" t="inlineStr">
        <is>
          <t>Júridico</t>
        </is>
      </c>
      <c r="H234" s="88" t="n">
        <v>37.02</v>
      </c>
    </row>
    <row r="235">
      <c r="A235" s="87" t="inlineStr">
        <is>
          <t>Abr/26</t>
        </is>
      </c>
      <c r="B235" s="87" t="inlineStr">
        <is>
          <t>20/04/2026</t>
        </is>
      </c>
      <c r="C235" s="87" t="inlineStr">
        <is>
          <t>SAO PAULO TRIBUNAL DE JUSTICA</t>
        </is>
      </c>
      <c r="D235" s="87" t="inlineStr">
        <is>
          <t>AV.009C_V</t>
        </is>
      </c>
      <c r="E235" s="87" t="inlineStr">
        <is>
          <t>104423/1</t>
        </is>
      </c>
      <c r="F235" s="87" t="inlineStr">
        <is>
          <t>San Marino</t>
        </is>
      </c>
      <c r="G235" s="87" t="inlineStr">
        <is>
          <t>Júridico</t>
        </is>
      </c>
      <c r="H235" s="88" t="n">
        <v>260.8</v>
      </c>
    </row>
    <row r="236">
      <c r="A236" s="87" t="inlineStr">
        <is>
          <t>Abr/26</t>
        </is>
      </c>
      <c r="B236" s="87" t="inlineStr">
        <is>
          <t>20/04/2026</t>
        </is>
      </c>
      <c r="C236" s="87" t="inlineStr">
        <is>
          <t>SAO PAULO TRIBUNAL DE JUSTICA</t>
        </is>
      </c>
      <c r="D236" s="87" t="inlineStr">
        <is>
          <t>AV.V_009C</t>
        </is>
      </c>
      <c r="E236" s="87" t="inlineStr">
        <is>
          <t>104427/1</t>
        </is>
      </c>
      <c r="F236" s="87" t="inlineStr">
        <is>
          <t>San Marino</t>
        </is>
      </c>
      <c r="G236" s="87" t="inlineStr">
        <is>
          <t>Júridico</t>
        </is>
      </c>
      <c r="H236" s="88" t="n">
        <v>260.8</v>
      </c>
    </row>
    <row r="237">
      <c r="A237" s="87" t="inlineStr">
        <is>
          <t>Abr/26</t>
        </is>
      </c>
      <c r="B237" s="87" t="inlineStr">
        <is>
          <t>17/04/2026</t>
        </is>
      </c>
      <c r="C237" s="87" t="inlineStr">
        <is>
          <t>SAO PAULO TRIBUNAL DE JUSTICA</t>
        </is>
      </c>
      <c r="D237" s="87" t="inlineStr">
        <is>
          <t>AV.Bloq. 68 Vita</t>
        </is>
      </c>
      <c r="E237" s="87" t="inlineStr">
        <is>
          <t>104431/1</t>
        </is>
      </c>
      <c r="F237" s="87" t="inlineStr">
        <is>
          <t>FGV</t>
        </is>
      </c>
      <c r="G237" s="87" t="inlineStr">
        <is>
          <t>Júridico</t>
        </is>
      </c>
      <c r="H237" s="88" t="n">
        <v>576.3</v>
      </c>
    </row>
    <row r="238">
      <c r="A238" s="87" t="inlineStr">
        <is>
          <t>Abr/26</t>
        </is>
      </c>
      <c r="B238" s="87" t="inlineStr">
        <is>
          <t>20/04/2026</t>
        </is>
      </c>
      <c r="C238" s="87" t="inlineStr">
        <is>
          <t>SAO PAULO TRIBUNAL DE JUSTICA</t>
        </is>
      </c>
      <c r="D238" s="87" t="inlineStr">
        <is>
          <t>AV.Oficial 92 Vita</t>
        </is>
      </c>
      <c r="E238" s="87" t="inlineStr">
        <is>
          <t>104518/1</t>
        </is>
      </c>
      <c r="F238" s="87" t="inlineStr">
        <is>
          <t>FGV</t>
        </is>
      </c>
      <c r="G238" s="87" t="inlineStr">
        <is>
          <t>Júridico</t>
        </is>
      </c>
      <c r="H238" s="88" t="n">
        <v>230.52</v>
      </c>
    </row>
    <row r="239">
      <c r="A239" s="87" t="inlineStr">
        <is>
          <t>Abr/26</t>
        </is>
      </c>
      <c r="B239" s="87" t="inlineStr">
        <is>
          <t>25/04/2026</t>
        </is>
      </c>
      <c r="C239" s="87" t="inlineStr">
        <is>
          <t>SERASA S.A.</t>
        </is>
      </c>
      <c r="D239" s="87" t="inlineStr">
        <is>
          <t>NFS.527972</t>
        </is>
      </c>
      <c r="E239" s="87" t="inlineStr">
        <is>
          <t>105083/1</t>
        </is>
      </c>
      <c r="F239" s="87" t="inlineStr">
        <is>
          <t>Tetus</t>
        </is>
      </c>
      <c r="G239" s="87" t="inlineStr">
        <is>
          <t>Júridico</t>
        </is>
      </c>
      <c r="H239" s="88" t="n">
        <v>11.43</v>
      </c>
    </row>
    <row r="240">
      <c r="A240" s="87" t="inlineStr">
        <is>
          <t>Abr/26</t>
        </is>
      </c>
      <c r="B240" s="87" t="inlineStr">
        <is>
          <t>10/04/2026</t>
        </is>
      </c>
      <c r="C240" s="87" t="inlineStr">
        <is>
          <t>Secretaria de Fazenda Federal</t>
        </is>
      </c>
      <c r="D240" s="87" t="inlineStr">
        <is>
          <t>DARF.215565</t>
        </is>
      </c>
      <c r="E240" s="87" t="inlineStr">
        <is>
          <t>101911/1</t>
        </is>
      </c>
      <c r="F240" s="87" t="inlineStr">
        <is>
          <t>FGV</t>
        </is>
      </c>
      <c r="G240" s="87" t="inlineStr">
        <is>
          <t>Júridico</t>
        </is>
      </c>
      <c r="H240" s="88" t="n">
        <v>47.82</v>
      </c>
    </row>
    <row r="241">
      <c r="A241" s="87" t="inlineStr">
        <is>
          <t>Abr/26</t>
        </is>
      </c>
      <c r="B241" s="87" t="inlineStr">
        <is>
          <t>10/04/2026</t>
        </is>
      </c>
      <c r="C241" s="87" t="inlineStr">
        <is>
          <t>Secretaria de Fazenda Federal</t>
        </is>
      </c>
      <c r="D241" s="87" t="inlineStr">
        <is>
          <t>DARF.215565</t>
        </is>
      </c>
      <c r="E241" s="87" t="inlineStr">
        <is>
          <t>101912/1</t>
        </is>
      </c>
      <c r="F241" s="87" t="inlineStr">
        <is>
          <t>FGV</t>
        </is>
      </c>
      <c r="G241" s="87" t="inlineStr">
        <is>
          <t>Júridico</t>
        </is>
      </c>
      <c r="H241" s="88" t="n">
        <v>162.48</v>
      </c>
    </row>
    <row r="242">
      <c r="A242" s="87" t="inlineStr">
        <is>
          <t>Abr/26</t>
        </is>
      </c>
      <c r="B242" s="87" t="inlineStr">
        <is>
          <t>15/04/2026</t>
        </is>
      </c>
      <c r="C242" s="87" t="inlineStr">
        <is>
          <t>TAUBATE CARTORIO DE REGISTRO CIVIL E TABELIONATO DE QUIRIRIM</t>
        </is>
      </c>
      <c r="D242" s="87" t="inlineStr">
        <is>
          <t>FAT.03.2026</t>
        </is>
      </c>
      <c r="E242" s="87" t="inlineStr">
        <is>
          <t>104095/1</t>
        </is>
      </c>
      <c r="F242" s="87" t="inlineStr">
        <is>
          <t>Tetus</t>
        </is>
      </c>
      <c r="G242" s="87" t="inlineStr">
        <is>
          <t>Júridico</t>
        </is>
      </c>
      <c r="H242" s="88" t="n">
        <v>418.14</v>
      </c>
    </row>
    <row r="243">
      <c r="A243" s="87" t="inlineStr">
        <is>
          <t>Abr/26</t>
        </is>
      </c>
      <c r="B243" s="87" t="inlineStr">
        <is>
          <t>16/04/2026</t>
        </is>
      </c>
      <c r="C243" s="87" t="inlineStr">
        <is>
          <t>TRIBUNAL DA JUSTICA DO ESTADO DE MINAS GERAIS</t>
        </is>
      </c>
      <c r="D243" s="87" t="inlineStr">
        <is>
          <t>AV.910B_V_</t>
        </is>
      </c>
      <c r="E243" s="87" t="inlineStr">
        <is>
          <t>103938/1</t>
        </is>
      </c>
      <c r="F243" s="87" t="inlineStr">
        <is>
          <t>San Marino</t>
        </is>
      </c>
      <c r="G243" s="87" t="inlineStr">
        <is>
          <t>Júridico</t>
        </is>
      </c>
      <c r="H243" s="88" t="n">
        <v>880.22</v>
      </c>
    </row>
    <row r="244">
      <c r="A244" s="87" t="inlineStr">
        <is>
          <t>Abr/26</t>
        </is>
      </c>
      <c r="B244" s="87" t="inlineStr">
        <is>
          <t>15/04/2026</t>
        </is>
      </c>
      <c r="C244" s="87" t="inlineStr">
        <is>
          <t>VC1 SOLUCOES EM TECNOLOGIA EIRELI</t>
        </is>
      </c>
      <c r="D244" s="87" t="inlineStr">
        <is>
          <t>BOL.28855</t>
        </is>
      </c>
      <c r="E244" s="87" t="inlineStr">
        <is>
          <t>103694/1</t>
        </is>
      </c>
      <c r="F244" s="87" t="inlineStr">
        <is>
          <t>Tetus</t>
        </is>
      </c>
      <c r="G244" s="87" t="inlineStr">
        <is>
          <t>T.I</t>
        </is>
      </c>
      <c r="H244" s="88" t="n">
        <v>137.9</v>
      </c>
    </row>
    <row r="245">
      <c r="A245" s="87" t="inlineStr">
        <is>
          <t>Abr/26</t>
        </is>
      </c>
      <c r="B245" s="87" t="inlineStr">
        <is>
          <t>07/04/2026</t>
        </is>
      </c>
      <c r="C245" s="87" t="inlineStr">
        <is>
          <t>VINICIUS DI FRANCO HEITOR</t>
        </is>
      </c>
      <c r="D245" s="87" t="inlineStr">
        <is>
          <t>SAL.SAL 032026</t>
        </is>
      </c>
      <c r="E245" s="87" t="inlineStr">
        <is>
          <t>103924/1</t>
        </is>
      </c>
      <c r="F245" s="87" t="inlineStr">
        <is>
          <t>Tetus</t>
        </is>
      </c>
      <c r="G245" s="87" t="inlineStr">
        <is>
          <t>T.I</t>
        </is>
      </c>
      <c r="H245" s="88" t="n">
        <v>1515</v>
      </c>
    </row>
    <row r="246">
      <c r="A246" s="87" t="inlineStr">
        <is>
          <t>Abr/26</t>
        </is>
      </c>
      <c r="B246" s="87" t="inlineStr">
        <is>
          <t>20/04/2026</t>
        </is>
      </c>
      <c r="C246" s="87" t="inlineStr">
        <is>
          <t>VINICIUS DI FRANCO HEITOR</t>
        </is>
      </c>
      <c r="D246" s="87" t="inlineStr">
        <is>
          <t>SAL.vale 042026</t>
        </is>
      </c>
      <c r="E246" s="87" t="inlineStr">
        <is>
          <t>105055/1</t>
        </is>
      </c>
      <c r="F246" s="87" t="inlineStr">
        <is>
          <t>Tetus</t>
        </is>
      </c>
      <c r="G246" s="87" t="inlineStr">
        <is>
          <t>T.I</t>
        </is>
      </c>
      <c r="H246" s="88" t="n">
        <v>1029</v>
      </c>
    </row>
    <row r="247">
      <c r="A247" s="87" t="inlineStr">
        <is>
          <t>Abr/26</t>
        </is>
      </c>
      <c r="B247" s="87" t="inlineStr">
        <is>
          <t>2026-04-20 00:00:00</t>
        </is>
      </c>
      <c r="C247" s="87" t="inlineStr">
        <is>
          <t>VINICIUS DI FRANCO HEITOR</t>
        </is>
      </c>
      <c r="D247" s="87" t="inlineStr">
        <is>
          <t>FGTS/INSS</t>
        </is>
      </c>
      <c r="E247" s="87" t="inlineStr">
        <is>
          <t>113754/4</t>
        </is>
      </c>
      <c r="F247" s="87" t="inlineStr">
        <is>
          <t>Tetus</t>
        </is>
      </c>
      <c r="G247" s="87" t="inlineStr">
        <is>
          <t>T.I</t>
        </is>
      </c>
      <c r="H247" s="88" t="n">
        <v>207.04</v>
      </c>
    </row>
    <row r="248">
      <c r="A248" s="87" t="inlineStr">
        <is>
          <t>Abr/26</t>
        </is>
      </c>
      <c r="B248" s="87" t="inlineStr">
        <is>
          <t>2026-04-01 00:00:00</t>
        </is>
      </c>
      <c r="C248" s="87" t="inlineStr">
        <is>
          <t>Vale Alimentação Vinicius</t>
        </is>
      </c>
      <c r="D248" s="87" t="inlineStr"/>
      <c r="E248" s="87" t="inlineStr"/>
      <c r="F248" s="87" t="inlineStr">
        <is>
          <t>Tetus</t>
        </is>
      </c>
      <c r="G248" s="87" t="inlineStr">
        <is>
          <t>T.I</t>
        </is>
      </c>
      <c r="H248" s="88" t="n">
        <v>485</v>
      </c>
    </row>
    <row r="249">
      <c r="A249" s="87" t="inlineStr">
        <is>
          <t>Abr/26</t>
        </is>
      </c>
      <c r="B249" s="87" t="inlineStr">
        <is>
          <t>27/04/2026</t>
        </is>
      </c>
      <c r="C249" s="87" t="inlineStr">
        <is>
          <t>WEB MOBILE TELECOM LTDA</t>
        </is>
      </c>
      <c r="D249" s="87" t="inlineStr">
        <is>
          <t>NFS.1573</t>
        </is>
      </c>
      <c r="E249" s="87" t="inlineStr">
        <is>
          <t>105411/1</t>
        </is>
      </c>
      <c r="F249" s="87" t="inlineStr">
        <is>
          <t>Tetus</t>
        </is>
      </c>
      <c r="G249" s="87" t="inlineStr">
        <is>
          <t>T.I</t>
        </is>
      </c>
      <c r="H249" s="88" t="n">
        <v>75</v>
      </c>
    </row>
    <row r="250">
      <c r="A250" s="87" t="inlineStr">
        <is>
          <t>Mai/26</t>
        </is>
      </c>
      <c r="B250" s="87" t="inlineStr">
        <is>
          <t>01/05/2026</t>
        </is>
      </c>
      <c r="C250" s="87" t="inlineStr">
        <is>
          <t>61.582.518 MIGUEL CLEPF PASSOS</t>
        </is>
      </c>
      <c r="D250" s="87" t="inlineStr">
        <is>
          <t>NFS.11</t>
        </is>
      </c>
      <c r="E250" s="87" t="inlineStr">
        <is>
          <t>105427/1</t>
        </is>
      </c>
      <c r="F250" s="87" t="inlineStr">
        <is>
          <t>Tetus</t>
        </is>
      </c>
      <c r="G250" s="87" t="inlineStr">
        <is>
          <t>Júridico</t>
        </is>
      </c>
      <c r="H250" s="88" t="n">
        <v>6750</v>
      </c>
    </row>
    <row r="251">
      <c r="A251" s="87" t="inlineStr">
        <is>
          <t>Mai/26</t>
        </is>
      </c>
      <c r="B251" s="87" t="inlineStr">
        <is>
          <t>15/05/2026</t>
        </is>
      </c>
      <c r="C251" s="87" t="inlineStr">
        <is>
          <t>ADAPTA EDUCACAO LTDA</t>
        </is>
      </c>
      <c r="D251" s="87" t="inlineStr">
        <is>
          <t>AV.4134643529</t>
        </is>
      </c>
      <c r="E251" s="87" t="inlineStr">
        <is>
          <t>89562/7</t>
        </is>
      </c>
      <c r="F251" s="87" t="inlineStr">
        <is>
          <t>Tetus</t>
        </is>
      </c>
      <c r="G251" s="87" t="inlineStr">
        <is>
          <t>Júridico</t>
        </is>
      </c>
      <c r="H251" s="88" t="n">
        <v>575</v>
      </c>
    </row>
    <row r="252">
      <c r="A252" s="87" t="inlineStr">
        <is>
          <t>Mai/26</t>
        </is>
      </c>
      <c r="B252" s="87" t="inlineStr">
        <is>
          <t>01/05/2026</t>
        </is>
      </c>
      <c r="C252" s="87" t="inlineStr">
        <is>
          <t>CARNEIRO RABELO SOCIEDADE INDIVIDUAL DE ADVOCACIA</t>
        </is>
      </c>
      <c r="D252" s="87" t="inlineStr">
        <is>
          <t>NFS.17.993,83</t>
        </is>
      </c>
      <c r="E252" s="87" t="inlineStr">
        <is>
          <t>105537/1</t>
        </is>
      </c>
      <c r="F252" s="87" t="inlineStr">
        <is>
          <t>Tetus</t>
        </is>
      </c>
      <c r="G252" s="87" t="inlineStr">
        <is>
          <t>Júridico</t>
        </is>
      </c>
      <c r="H252" s="88" t="n">
        <v>17632.15</v>
      </c>
    </row>
    <row r="253">
      <c r="A253" s="87" t="inlineStr">
        <is>
          <t>Mai/26</t>
        </is>
      </c>
      <c r="B253" s="87" t="inlineStr">
        <is>
          <t>18/05/2026</t>
        </is>
      </c>
      <c r="C253" s="87" t="inlineStr">
        <is>
          <t>CLARO S.A.</t>
        </is>
      </c>
      <c r="D253" s="87" t="inlineStr">
        <is>
          <t>FAT.2ªvia Claro Abril</t>
        </is>
      </c>
      <c r="E253" s="87" t="inlineStr">
        <is>
          <t>107340/1</t>
        </is>
      </c>
      <c r="F253" s="87" t="inlineStr">
        <is>
          <t>Tetus</t>
        </is>
      </c>
      <c r="G253" s="87" t="inlineStr">
        <is>
          <t>T.I</t>
        </is>
      </c>
      <c r="H253" s="88" t="n">
        <v>182.32</v>
      </c>
    </row>
    <row r="254">
      <c r="A254" s="87" t="inlineStr">
        <is>
          <t>Mai/26</t>
        </is>
      </c>
      <c r="B254" s="87" t="inlineStr">
        <is>
          <t>28/05/2026</t>
        </is>
      </c>
      <c r="C254" s="87" t="inlineStr">
        <is>
          <t>CLARO S.A.</t>
        </is>
      </c>
      <c r="D254" s="87" t="inlineStr">
        <is>
          <t>FAT.17483469</t>
        </is>
      </c>
      <c r="E254" s="87" t="inlineStr">
        <is>
          <t>108218/1</t>
        </is>
      </c>
      <c r="F254" s="87" t="inlineStr">
        <is>
          <t>Tetus</t>
        </is>
      </c>
      <c r="G254" s="87" t="inlineStr">
        <is>
          <t>T.I</t>
        </is>
      </c>
      <c r="H254" s="88" t="n">
        <v>629.98</v>
      </c>
    </row>
    <row r="255">
      <c r="A255" s="87" t="inlineStr">
        <is>
          <t>Mai/26</t>
        </is>
      </c>
      <c r="B255" s="87" t="inlineStr">
        <is>
          <t>28/05/2026</t>
        </is>
      </c>
      <c r="C255" s="87" t="inlineStr">
        <is>
          <t>CLARO S.A.</t>
        </is>
      </c>
      <c r="D255" s="87" t="inlineStr">
        <is>
          <t>FAT.17483469</t>
        </is>
      </c>
      <c r="E255" s="87" t="inlineStr">
        <is>
          <t>108218/2</t>
        </is>
      </c>
      <c r="F255" s="87" t="inlineStr">
        <is>
          <t>Tetus</t>
        </is>
      </c>
      <c r="G255" s="87" t="inlineStr">
        <is>
          <t>T.I</t>
        </is>
      </c>
      <c r="H255" s="88" t="n">
        <v>18.86</v>
      </c>
    </row>
    <row r="256">
      <c r="A256" s="87" t="inlineStr">
        <is>
          <t>Mai/26</t>
        </is>
      </c>
      <c r="B256" s="87" t="inlineStr">
        <is>
          <t>28/05/2026</t>
        </is>
      </c>
      <c r="C256" s="87" t="inlineStr">
        <is>
          <t>CLARO S.A.</t>
        </is>
      </c>
      <c r="D256" s="87" t="inlineStr">
        <is>
          <t>FAT.17483469</t>
        </is>
      </c>
      <c r="E256" s="87" t="inlineStr">
        <is>
          <t>108218/3</t>
        </is>
      </c>
      <c r="F256" s="87" t="inlineStr">
        <is>
          <t>Tetus</t>
        </is>
      </c>
      <c r="G256" s="87" t="inlineStr">
        <is>
          <t>T.I</t>
        </is>
      </c>
      <c r="H256" s="88" t="n">
        <v>133.95</v>
      </c>
    </row>
    <row r="257">
      <c r="A257" s="87" t="inlineStr">
        <is>
          <t>Mai/26</t>
        </is>
      </c>
      <c r="B257" s="87" t="inlineStr">
        <is>
          <t>25/05/2026</t>
        </is>
      </c>
      <c r="C257" s="87" t="inlineStr">
        <is>
          <t>CLICKSIGN GESTAO DE DOCUMENTOS S/A</t>
        </is>
      </c>
      <c r="D257" s="87" t="inlineStr">
        <is>
          <t>NFS.542541</t>
        </is>
      </c>
      <c r="E257" s="87" t="inlineStr">
        <is>
          <t>108113/1</t>
        </is>
      </c>
      <c r="F257" s="87" t="inlineStr">
        <is>
          <t>Tetus</t>
        </is>
      </c>
      <c r="G257" s="87" t="inlineStr">
        <is>
          <t>Júridico</t>
        </is>
      </c>
      <c r="H257" s="88" t="n">
        <v>443.94</v>
      </c>
    </row>
    <row r="258">
      <c r="A258" s="87" t="inlineStr">
        <is>
          <t>Mai/26</t>
        </is>
      </c>
      <c r="B258" s="87" t="inlineStr">
        <is>
          <t>07/05/2026</t>
        </is>
      </c>
      <c r="C258" s="87" t="inlineStr">
        <is>
          <t>EDITORA E DISTRIBUIDORA EDUCACIONAL S/A</t>
        </is>
      </c>
      <c r="D258" s="87" t="inlineStr">
        <is>
          <t>AV.MENSALIDADE 26</t>
        </is>
      </c>
      <c r="E258" s="87" t="inlineStr">
        <is>
          <t>94807/5</t>
        </is>
      </c>
      <c r="F258" s="87" t="inlineStr">
        <is>
          <t>Tetus</t>
        </is>
      </c>
      <c r="G258" s="87" t="inlineStr">
        <is>
          <t>Júridico</t>
        </is>
      </c>
      <c r="H258" s="88" t="n">
        <v>224.7</v>
      </c>
    </row>
    <row r="259">
      <c r="A259" s="87" t="inlineStr">
        <is>
          <t>Mai/26</t>
        </is>
      </c>
      <c r="B259" s="87" t="inlineStr">
        <is>
          <t>04/05/2026</t>
        </is>
      </c>
      <c r="C259" s="87" t="inlineStr">
        <is>
          <t>EMPRESA BRASILEIRA DE CORREIOS E TELEGRAFOS</t>
        </is>
      </c>
      <c r="D259" s="87" t="inlineStr">
        <is>
          <t>AV.Ar.04.04</t>
        </is>
      </c>
      <c r="E259" s="87" t="inlineStr">
        <is>
          <t>106210/1</t>
        </is>
      </c>
      <c r="F259" s="87" t="inlineStr">
        <is>
          <t>Alencar Mazzeo</t>
        </is>
      </c>
      <c r="G259" s="87" t="inlineStr">
        <is>
          <t>Júridico</t>
        </is>
      </c>
      <c r="H259" s="88" t="n">
        <v>185.5</v>
      </c>
    </row>
    <row r="260">
      <c r="A260" s="87" t="inlineStr">
        <is>
          <t>Mai/26</t>
        </is>
      </c>
      <c r="B260" s="87" t="inlineStr">
        <is>
          <t>04/05/2026</t>
        </is>
      </c>
      <c r="C260" s="87" t="inlineStr">
        <is>
          <t>EMPRESA BRASILEIRA DE CORREIOS E TELEGRAFOS</t>
        </is>
      </c>
      <c r="D260" s="87" t="inlineStr">
        <is>
          <t>AV.AR.04.04.26</t>
        </is>
      </c>
      <c r="E260" s="87" t="inlineStr">
        <is>
          <t>106211/1</t>
        </is>
      </c>
      <c r="F260" s="87" t="inlineStr">
        <is>
          <t>San Marino</t>
        </is>
      </c>
      <c r="G260" s="87" t="inlineStr">
        <is>
          <t>Júridico</t>
        </is>
      </c>
      <c r="H260" s="88" t="n">
        <v>79.5</v>
      </c>
    </row>
    <row r="261">
      <c r="A261" s="87" t="inlineStr">
        <is>
          <t>Mai/26</t>
        </is>
      </c>
      <c r="B261" s="87" t="inlineStr">
        <is>
          <t>07/05/2026</t>
        </is>
      </c>
      <c r="C261" s="87" t="inlineStr">
        <is>
          <t>GEOVANA CAVALCANTI</t>
        </is>
      </c>
      <c r="D261" s="87" t="inlineStr">
        <is>
          <t>SAL.sal 042026</t>
        </is>
      </c>
      <c r="E261" s="87" t="inlineStr">
        <is>
          <t>106904/1</t>
        </is>
      </c>
      <c r="F261" s="87" t="inlineStr">
        <is>
          <t>Tetus</t>
        </is>
      </c>
      <c r="G261" s="87" t="inlineStr">
        <is>
          <t>Júridico</t>
        </is>
      </c>
      <c r="H261" s="88" t="n">
        <v>1482</v>
      </c>
    </row>
    <row r="262">
      <c r="A262" s="87" t="inlineStr">
        <is>
          <t>Mai/26</t>
        </is>
      </c>
      <c r="B262" s="87" t="inlineStr">
        <is>
          <t>08/05/2026</t>
        </is>
      </c>
      <c r="C262" s="87" t="inlineStr">
        <is>
          <t>GEOVANA CAVALCANTI</t>
        </is>
      </c>
      <c r="D262" s="87" t="inlineStr">
        <is>
          <t>CX.ub.2404</t>
        </is>
      </c>
      <c r="E262" s="87" t="inlineStr">
        <is>
          <t>106172/1</t>
        </is>
      </c>
      <c r="F262" s="87" t="inlineStr">
        <is>
          <t>Tetus</t>
        </is>
      </c>
      <c r="G262" s="87" t="inlineStr">
        <is>
          <t>Júridico</t>
        </is>
      </c>
      <c r="H262" s="88" t="n">
        <v>132</v>
      </c>
    </row>
    <row r="263">
      <c r="A263" s="87" t="inlineStr">
        <is>
          <t>Mai/26</t>
        </is>
      </c>
      <c r="B263" s="87" t="inlineStr">
        <is>
          <t>20/05/2026</t>
        </is>
      </c>
      <c r="C263" s="87" t="inlineStr">
        <is>
          <t>GEOVANA CAVALCANTI</t>
        </is>
      </c>
      <c r="D263" s="87" t="inlineStr">
        <is>
          <t>SAL.vale 052026</t>
        </is>
      </c>
      <c r="E263" s="87" t="inlineStr">
        <is>
          <t>108137/1</t>
        </is>
      </c>
      <c r="F263" s="87" t="inlineStr">
        <is>
          <t>Tetus</t>
        </is>
      </c>
      <c r="G263" s="87" t="inlineStr">
        <is>
          <t>Júridico</t>
        </is>
      </c>
      <c r="H263" s="88" t="n">
        <v>1155</v>
      </c>
    </row>
    <row r="264">
      <c r="A264" s="87" t="inlineStr">
        <is>
          <t>Mai/26</t>
        </is>
      </c>
      <c r="B264" s="87" t="inlineStr">
        <is>
          <t>19/05/2026</t>
        </is>
      </c>
      <c r="C264" s="87" t="inlineStr">
        <is>
          <t>INSTITUTO DE ESTUDOS DE PROTESTO DE TITULOS</t>
        </is>
      </c>
      <c r="D264" s="87" t="inlineStr">
        <is>
          <t>AV.Cert. prot.19.05</t>
        </is>
      </c>
      <c r="E264" s="87" t="inlineStr">
        <is>
          <t>108194/1</t>
        </is>
      </c>
      <c r="F264" s="87" t="inlineStr">
        <is>
          <t>San Marino</t>
        </is>
      </c>
      <c r="G264" s="87" t="inlineStr">
        <is>
          <t>Júridico</t>
        </is>
      </c>
      <c r="H264" s="88" t="n">
        <v>58.98</v>
      </c>
    </row>
    <row r="265">
      <c r="A265" s="87" t="inlineStr">
        <is>
          <t>Mai/26</t>
        </is>
      </c>
      <c r="B265" s="87" t="inlineStr">
        <is>
          <t>01/05/2026</t>
        </is>
      </c>
      <c r="C265" s="87" t="inlineStr">
        <is>
          <t>J H ALVES - MONITOR REMOTO</t>
        </is>
      </c>
      <c r="D265" s="87" t="inlineStr">
        <is>
          <t>NFS.76</t>
        </is>
      </c>
      <c r="E265" s="87" t="inlineStr">
        <is>
          <t>105987/1</t>
        </is>
      </c>
      <c r="F265" s="87" t="inlineStr">
        <is>
          <t>Tetus</t>
        </is>
      </c>
      <c r="G265" s="87" t="inlineStr">
        <is>
          <t>T.I</t>
        </is>
      </c>
      <c r="H265" s="88" t="n">
        <v>3723.62</v>
      </c>
    </row>
    <row r="266">
      <c r="A266" s="87" t="inlineStr">
        <is>
          <t>Mai/26</t>
        </is>
      </c>
      <c r="B266" s="87" t="inlineStr">
        <is>
          <t>21/05/2026</t>
        </is>
      </c>
      <c r="C266" s="87" t="inlineStr">
        <is>
          <t>LEME INTELIGENCIA FORENSE E CONSULTORIA EMPRESARIAL LTDA</t>
        </is>
      </c>
      <c r="D266" s="87" t="inlineStr">
        <is>
          <t>NFS.20948</t>
        </is>
      </c>
      <c r="E266" s="87" t="inlineStr">
        <is>
          <t>107435/1</t>
        </is>
      </c>
      <c r="F266" s="87" t="inlineStr">
        <is>
          <t>Tetus</t>
        </is>
      </c>
      <c r="G266" s="87" t="inlineStr">
        <is>
          <t>Júridico</t>
        </is>
      </c>
      <c r="H266" s="88" t="n">
        <v>970.5700000000001</v>
      </c>
    </row>
    <row r="267">
      <c r="A267" s="87" t="inlineStr">
        <is>
          <t>Mai/26</t>
        </is>
      </c>
      <c r="B267" s="87" t="inlineStr">
        <is>
          <t>11/05/2026</t>
        </is>
      </c>
      <c r="C267" s="87" t="inlineStr">
        <is>
          <t>LOCAWEB SERVICOS DE INTERNET S/A</t>
        </is>
      </c>
      <c r="D267" s="87" t="inlineStr">
        <is>
          <t>BOL.LOCAWEB 11.05.26</t>
        </is>
      </c>
      <c r="E267" s="87" t="inlineStr">
        <is>
          <t>107254/1</t>
        </is>
      </c>
      <c r="F267" s="87" t="inlineStr">
        <is>
          <t>Tetus</t>
        </is>
      </c>
      <c r="G267" s="87" t="inlineStr">
        <is>
          <t>T.I</t>
        </is>
      </c>
      <c r="H267" s="88" t="n">
        <v>74.81</v>
      </c>
    </row>
    <row r="268">
      <c r="A268" s="87" t="inlineStr">
        <is>
          <t>Mai/26</t>
        </is>
      </c>
      <c r="B268" s="87" t="inlineStr">
        <is>
          <t>08/05/2026</t>
        </is>
      </c>
      <c r="C268" s="87" t="inlineStr">
        <is>
          <t>MICHELE DE OLIVEIRA SILVA</t>
        </is>
      </c>
      <c r="D268" s="87" t="inlineStr">
        <is>
          <t>HON.HON_909A TAMIRIS</t>
        </is>
      </c>
      <c r="E268" s="87" t="inlineStr">
        <is>
          <t>59781/16</t>
        </is>
      </c>
      <c r="F268" s="87" t="inlineStr">
        <is>
          <t>Padre Eugênio</t>
        </is>
      </c>
      <c r="G268" s="87" t="inlineStr">
        <is>
          <t>Júridico</t>
        </is>
      </c>
      <c r="H268" s="88" t="n">
        <v>66.06</v>
      </c>
    </row>
    <row r="269">
      <c r="A269" s="87" t="inlineStr">
        <is>
          <t>Mai/26</t>
        </is>
      </c>
      <c r="B269" s="87" t="inlineStr">
        <is>
          <t>08/05/2026</t>
        </is>
      </c>
      <c r="C269" s="87" t="inlineStr">
        <is>
          <t>MICHELE DE OLIVEIRA SILVA</t>
        </is>
      </c>
      <c r="D269" s="87" t="inlineStr">
        <is>
          <t>HON.HON_909A TAMIRIS</t>
        </is>
      </c>
      <c r="E269" s="87" t="inlineStr">
        <is>
          <t>59781/17</t>
        </is>
      </c>
      <c r="F269" s="87" t="inlineStr">
        <is>
          <t>Padre Eugênio</t>
        </is>
      </c>
      <c r="G269" s="87" t="inlineStr">
        <is>
          <t>Júridico</t>
        </is>
      </c>
      <c r="H269" s="88" t="n">
        <v>66.06</v>
      </c>
    </row>
    <row r="270">
      <c r="A270" s="87" t="inlineStr">
        <is>
          <t>Mai/26</t>
        </is>
      </c>
      <c r="B270" s="87" t="inlineStr">
        <is>
          <t>08/05/2026</t>
        </is>
      </c>
      <c r="C270" s="87" t="inlineStr">
        <is>
          <t>MICHELE DE OLIVEIRA SILVA</t>
        </is>
      </c>
      <c r="D270" s="87" t="inlineStr">
        <is>
          <t>AV.HON_1310A</t>
        </is>
      </c>
      <c r="E270" s="87" t="inlineStr">
        <is>
          <t>81462/10</t>
        </is>
      </c>
      <c r="F270" s="87" t="inlineStr">
        <is>
          <t>Padre Eugênio</t>
        </is>
      </c>
      <c r="G270" s="87" t="inlineStr">
        <is>
          <t>Júridico</t>
        </is>
      </c>
      <c r="H270" s="88" t="n">
        <v>144.34</v>
      </c>
    </row>
    <row r="271">
      <c r="A271" s="87" t="inlineStr">
        <is>
          <t>Mai/26</t>
        </is>
      </c>
      <c r="B271" s="87" t="inlineStr">
        <is>
          <t>08/05/2026</t>
        </is>
      </c>
      <c r="C271" s="87" t="inlineStr">
        <is>
          <t>MICHELE DE OLIVEIRA SILVA</t>
        </is>
      </c>
      <c r="D271" s="87" t="inlineStr">
        <is>
          <t>AV.HON_802A</t>
        </is>
      </c>
      <c r="E271" s="87" t="inlineStr">
        <is>
          <t>89206/7</t>
        </is>
      </c>
      <c r="F271" s="87" t="inlineStr">
        <is>
          <t>Padre Eugênio</t>
        </is>
      </c>
      <c r="G271" s="87" t="inlineStr">
        <is>
          <t>Júridico</t>
        </is>
      </c>
      <c r="H271" s="88" t="n">
        <v>116.62</v>
      </c>
    </row>
    <row r="272">
      <c r="A272" s="87" t="inlineStr">
        <is>
          <t>Mai/26</t>
        </is>
      </c>
      <c r="B272" s="87" t="inlineStr">
        <is>
          <t>08/05/2026</t>
        </is>
      </c>
      <c r="C272" s="87" t="inlineStr">
        <is>
          <t>MICHELE DE OLIVEIRA SILVA</t>
        </is>
      </c>
      <c r="D272" s="87" t="inlineStr">
        <is>
          <t>AV.HONORARIOS_1008B</t>
        </is>
      </c>
      <c r="E272" s="87" t="inlineStr">
        <is>
          <t>92298/6</t>
        </is>
      </c>
      <c r="F272" s="87" t="inlineStr">
        <is>
          <t>Padre Eugênio</t>
        </is>
      </c>
      <c r="G272" s="87" t="inlineStr">
        <is>
          <t>Júridico</t>
        </is>
      </c>
      <c r="H272" s="88" t="n">
        <v>42.28</v>
      </c>
    </row>
    <row r="273">
      <c r="A273" s="87" t="inlineStr">
        <is>
          <t>Mai/26</t>
        </is>
      </c>
      <c r="B273" s="87" t="inlineStr">
        <is>
          <t>08/05/2026</t>
        </is>
      </c>
      <c r="C273" s="87" t="inlineStr">
        <is>
          <t>MICHELE DE OLIVEIRA SILVA</t>
        </is>
      </c>
      <c r="D273" s="87" t="inlineStr">
        <is>
          <t>AV.HONORARIOS 806A</t>
        </is>
      </c>
      <c r="E273" s="87" t="inlineStr">
        <is>
          <t>94835/3</t>
        </is>
      </c>
      <c r="F273" s="87" t="inlineStr">
        <is>
          <t>Padre Eugênio</t>
        </is>
      </c>
      <c r="G273" s="87" t="inlineStr">
        <is>
          <t>Júridico</t>
        </is>
      </c>
      <c r="H273" s="88" t="n">
        <v>90.18000000000001</v>
      </c>
    </row>
    <row r="274">
      <c r="A274" s="87" t="inlineStr">
        <is>
          <t>Mai/26</t>
        </is>
      </c>
      <c r="B274" s="87" t="inlineStr">
        <is>
          <t>11/05/2026</t>
        </is>
      </c>
      <c r="C274" s="87" t="inlineStr">
        <is>
          <t>MICHELE DE OLIVEIRA SILVA</t>
        </is>
      </c>
      <c r="D274" s="87" t="inlineStr">
        <is>
          <t>AV.HON. 304C VERANO</t>
        </is>
      </c>
      <c r="E274" s="87" t="inlineStr">
        <is>
          <t>78609/12</t>
        </is>
      </c>
      <c r="F274" s="87" t="inlineStr">
        <is>
          <t>San Marino</t>
        </is>
      </c>
      <c r="G274" s="87" t="inlineStr">
        <is>
          <t>Júridico</t>
        </is>
      </c>
      <c r="H274" s="88" t="n">
        <v>234.31</v>
      </c>
    </row>
    <row r="275">
      <c r="A275" s="87" t="inlineStr">
        <is>
          <t>Mai/26</t>
        </is>
      </c>
      <c r="B275" s="87" t="inlineStr">
        <is>
          <t>11/05/2026</t>
        </is>
      </c>
      <c r="C275" s="87" t="inlineStr">
        <is>
          <t>MICHELE DE OLIVEIRA SILVA</t>
        </is>
      </c>
      <c r="D275" s="87" t="inlineStr">
        <is>
          <t>AV.HONORARIOS 406B</t>
        </is>
      </c>
      <c r="E275" s="87" t="inlineStr">
        <is>
          <t>94390/5</t>
        </is>
      </c>
      <c r="F275" s="87" t="inlineStr">
        <is>
          <t>San Marino</t>
        </is>
      </c>
      <c r="G275" s="87" t="inlineStr">
        <is>
          <t>Júridico</t>
        </is>
      </c>
      <c r="H275" s="88" t="n">
        <v>96.09999999999999</v>
      </c>
    </row>
    <row r="276">
      <c r="A276" s="87" t="inlineStr">
        <is>
          <t>Mai/26</t>
        </is>
      </c>
      <c r="B276" s="87" t="inlineStr">
        <is>
          <t>11/05/2026</t>
        </is>
      </c>
      <c r="C276" s="87" t="inlineStr">
        <is>
          <t>MICHELE DE OLIVEIRA SILVA</t>
        </is>
      </c>
      <c r="D276" s="87" t="inlineStr">
        <is>
          <t>HON.HON. PROCESSO 1404B</t>
        </is>
      </c>
      <c r="E276" s="87" t="inlineStr">
        <is>
          <t>95170/6</t>
        </is>
      </c>
      <c r="F276" s="87" t="inlineStr">
        <is>
          <t>San Marino</t>
        </is>
      </c>
      <c r="G276" s="87" t="inlineStr">
        <is>
          <t>Júridico</t>
        </is>
      </c>
      <c r="H276" s="88" t="n">
        <v>199.12</v>
      </c>
    </row>
    <row r="277">
      <c r="A277" s="87" t="inlineStr">
        <is>
          <t>Mai/26</t>
        </is>
      </c>
      <c r="B277" s="87" t="inlineStr">
        <is>
          <t>05/05/2026</t>
        </is>
      </c>
      <c r="C277" s="87" t="inlineStr">
        <is>
          <t>MICHELE DE OLIVEIRA SILVA</t>
        </is>
      </c>
      <c r="D277" s="87" t="inlineStr">
        <is>
          <t>REC.RecibosMichele_2026</t>
        </is>
      </c>
      <c r="E277" s="87" t="inlineStr">
        <is>
          <t>96274/5</t>
        </is>
      </c>
      <c r="F277" s="87" t="inlineStr">
        <is>
          <t>Tetus</t>
        </is>
      </c>
      <c r="G277" s="87" t="inlineStr">
        <is>
          <t>Júridico</t>
        </is>
      </c>
      <c r="H277" s="88" t="n">
        <v>2750</v>
      </c>
    </row>
    <row r="278">
      <c r="A278" s="87" t="inlineStr">
        <is>
          <t>Mai/26</t>
        </is>
      </c>
      <c r="B278" s="87" t="inlineStr">
        <is>
          <t>29/05/2026</t>
        </is>
      </c>
      <c r="C278" s="87" t="inlineStr">
        <is>
          <t>MINISTERIO DA JUSTICA E SEGURANCA PUBLICA</t>
        </is>
      </c>
      <c r="D278" s="87" t="inlineStr">
        <is>
          <t>BOL.7455</t>
        </is>
      </c>
      <c r="E278" s="87" t="inlineStr">
        <is>
          <t>106721/1</t>
        </is>
      </c>
      <c r="F278" s="87" t="inlineStr">
        <is>
          <t>Tetus</t>
        </is>
      </c>
      <c r="G278" s="87" t="inlineStr">
        <is>
          <t>Júridico</t>
        </is>
      </c>
      <c r="H278" s="88" t="n">
        <v>104.12</v>
      </c>
    </row>
    <row r="279">
      <c r="A279" s="87" t="inlineStr">
        <is>
          <t>Mai/26</t>
        </is>
      </c>
      <c r="B279" s="87" t="inlineStr">
        <is>
          <t>29/05/2026</t>
        </is>
      </c>
      <c r="C279" s="87" t="inlineStr">
        <is>
          <t>MINISTERIO DA JUSTICA E SEGURANCA PUBLICA</t>
        </is>
      </c>
      <c r="D279" s="87" t="inlineStr">
        <is>
          <t>BOL.J006461306</t>
        </is>
      </c>
      <c r="E279" s="87" t="inlineStr">
        <is>
          <t>106722/1</t>
        </is>
      </c>
      <c r="F279" s="87" t="inlineStr">
        <is>
          <t>Tetus</t>
        </is>
      </c>
      <c r="G279" s="87" t="inlineStr">
        <is>
          <t>Júridico</t>
        </is>
      </c>
      <c r="H279" s="88" t="n">
        <v>156.18</v>
      </c>
    </row>
    <row r="280">
      <c r="A280" s="87" t="inlineStr">
        <is>
          <t>Mai/26</t>
        </is>
      </c>
      <c r="B280" s="87" t="inlineStr">
        <is>
          <t>18/05/2026</t>
        </is>
      </c>
      <c r="C280" s="87" t="inlineStr">
        <is>
          <t>OPERADOR NACIONAL DO SISTEMA DE REGISTRO ELETRONICO DE IMOVEIS ( ONR )</t>
        </is>
      </c>
      <c r="D280" s="87" t="inlineStr">
        <is>
          <t>BOL.14.04.Regis</t>
        </is>
      </c>
      <c r="E280" s="87" t="inlineStr">
        <is>
          <t>104810/1</t>
        </is>
      </c>
      <c r="F280" s="87" t="inlineStr">
        <is>
          <t>Padre Eugênio</t>
        </is>
      </c>
      <c r="G280" s="87" t="inlineStr">
        <is>
          <t>Júridico</t>
        </is>
      </c>
      <c r="H280" s="88" t="n">
        <v>250</v>
      </c>
    </row>
    <row r="281">
      <c r="A281" s="87" t="inlineStr">
        <is>
          <t>Mai/26</t>
        </is>
      </c>
      <c r="B281" s="87" t="inlineStr">
        <is>
          <t>18/05/2026</t>
        </is>
      </c>
      <c r="C281" s="87" t="inlineStr">
        <is>
          <t>OPERADOR NACIONAL DO SISTEMA DE REGISTRO ELETRONICO DE IMOVEIS ( ONR )</t>
        </is>
      </c>
      <c r="D281" s="87" t="inlineStr">
        <is>
          <t>BOL.Regis.1404</t>
        </is>
      </c>
      <c r="E281" s="87" t="inlineStr">
        <is>
          <t>104808/1</t>
        </is>
      </c>
      <c r="F281" s="87" t="inlineStr">
        <is>
          <t>FGV</t>
        </is>
      </c>
      <c r="G281" s="87" t="inlineStr">
        <is>
          <t>Júridico</t>
        </is>
      </c>
      <c r="H281" s="88" t="n">
        <v>200</v>
      </c>
    </row>
    <row r="282">
      <c r="A282" s="87" t="inlineStr">
        <is>
          <t>Mai/26</t>
        </is>
      </c>
      <c r="B282" s="87" t="inlineStr">
        <is>
          <t>04/05/2026</t>
        </is>
      </c>
      <c r="C282" s="87" t="inlineStr">
        <is>
          <t>OPERADOR NACIONAL DO SISTEMA DE REGISTRO ELETRONICO DE IMOVEIS ( ONR )</t>
        </is>
      </c>
      <c r="D282" s="87" t="inlineStr">
        <is>
          <t>AV.CertidProt_0405</t>
        </is>
      </c>
      <c r="E282" s="87" t="inlineStr">
        <is>
          <t>110855/1</t>
        </is>
      </c>
      <c r="F282" s="87" t="inlineStr">
        <is>
          <t>Tetus</t>
        </is>
      </c>
      <c r="G282" s="87" t="inlineStr">
        <is>
          <t>Júridico</t>
        </is>
      </c>
      <c r="H282" s="88" t="n">
        <v>85.2</v>
      </c>
    </row>
    <row r="283">
      <c r="A283" s="87" t="inlineStr">
        <is>
          <t>Mai/26</t>
        </is>
      </c>
      <c r="B283" s="87" t="inlineStr">
        <is>
          <t>08/05/2026</t>
        </is>
      </c>
      <c r="C283" s="87" t="inlineStr">
        <is>
          <t>OPERADOR NACIONAL DO SISTEMA DE REGISTRO ELETRONICO DE IMOVEIS ( ONR )</t>
        </is>
      </c>
      <c r="D283" s="87" t="inlineStr">
        <is>
          <t>BOL.Regs.28.04</t>
        </is>
      </c>
      <c r="E283" s="87" t="inlineStr">
        <is>
          <t>106221/1</t>
        </is>
      </c>
      <c r="F283" s="87" t="inlineStr">
        <is>
          <t>Tetus</t>
        </is>
      </c>
      <c r="G283" s="87" t="inlineStr">
        <is>
          <t>Júridico</t>
        </is>
      </c>
      <c r="H283" s="88" t="n">
        <v>1000.45</v>
      </c>
    </row>
    <row r="284">
      <c r="A284" s="87" t="inlineStr">
        <is>
          <t>Mai/26</t>
        </is>
      </c>
      <c r="B284" s="87" t="inlineStr">
        <is>
          <t>30/05/2026</t>
        </is>
      </c>
      <c r="C284" s="87" t="inlineStr">
        <is>
          <t>OPERADOR NACIONAL DO SISTEMA DE REGISTRO ELETRONICO DE IMOVEIS ( ONR )</t>
        </is>
      </c>
      <c r="D284" s="87" t="inlineStr">
        <is>
          <t>AV.Regis.20.05.26</t>
        </is>
      </c>
      <c r="E284" s="87" t="inlineStr">
        <is>
          <t>108267/1</t>
        </is>
      </c>
      <c r="F284" s="87" t="inlineStr">
        <is>
          <t>Tetus</t>
        </is>
      </c>
      <c r="G284" s="87" t="inlineStr">
        <is>
          <t>Júridico</t>
        </is>
      </c>
      <c r="H284" s="88" t="n">
        <v>1000.45</v>
      </c>
    </row>
    <row r="285">
      <c r="A285" s="87" t="inlineStr">
        <is>
          <t>Mai/26</t>
        </is>
      </c>
      <c r="B285" s="87" t="inlineStr">
        <is>
          <t>25/05/2026</t>
        </is>
      </c>
      <c r="C285" s="87" t="inlineStr">
        <is>
          <t>PAULO ROBERTO DE SOUZA 03565732652</t>
        </is>
      </c>
      <c r="D285" s="87" t="inlineStr">
        <is>
          <t>CX.25052026</t>
        </is>
      </c>
      <c r="E285" s="87" t="inlineStr">
        <is>
          <t>108552/1</t>
        </is>
      </c>
      <c r="F285" s="87" t="inlineStr">
        <is>
          <t>Alencar Mazzeo</t>
        </is>
      </c>
      <c r="G285" s="87" t="inlineStr">
        <is>
          <t>Júridico</t>
        </is>
      </c>
      <c r="H285" s="88" t="n">
        <v>5.95</v>
      </c>
    </row>
    <row r="286">
      <c r="A286" s="87" t="inlineStr">
        <is>
          <t>Mai/26</t>
        </is>
      </c>
      <c r="B286" s="87" t="inlineStr">
        <is>
          <t>18/05/2026</t>
        </is>
      </c>
      <c r="C286" s="87" t="inlineStr">
        <is>
          <t>PAULO ROBERTO DE SOUZA 03565732652</t>
        </is>
      </c>
      <c r="D286" s="87" t="inlineStr">
        <is>
          <t>NFS.259</t>
        </is>
      </c>
      <c r="E286" s="87" t="inlineStr">
        <is>
          <t>107284/1</t>
        </is>
      </c>
      <c r="F286" s="87" t="inlineStr">
        <is>
          <t>Faria Lima 1</t>
        </is>
      </c>
      <c r="G286" s="87" t="inlineStr">
        <is>
          <t>Júridico</t>
        </is>
      </c>
      <c r="H286" s="88" t="n">
        <v>150</v>
      </c>
    </row>
    <row r="287">
      <c r="A287" s="87" t="inlineStr">
        <is>
          <t>Mai/26</t>
        </is>
      </c>
      <c r="B287" s="87" t="inlineStr">
        <is>
          <t>26/05/2026</t>
        </is>
      </c>
      <c r="C287" s="87" t="inlineStr">
        <is>
          <t>PAULO ROBERTO DE SOUZA 03565732652</t>
        </is>
      </c>
      <c r="D287" s="87" t="inlineStr">
        <is>
          <t>CX.26062026</t>
        </is>
      </c>
      <c r="E287" s="87" t="inlineStr">
        <is>
          <t>108658/1</t>
        </is>
      </c>
      <c r="F287" s="87" t="inlineStr">
        <is>
          <t>San Marino</t>
        </is>
      </c>
      <c r="G287" s="87" t="inlineStr">
        <is>
          <t>Júridico</t>
        </is>
      </c>
      <c r="H287" s="88" t="n">
        <v>25.05</v>
      </c>
    </row>
    <row r="288">
      <c r="A288" s="87" t="inlineStr">
        <is>
          <t>Mai/26</t>
        </is>
      </c>
      <c r="B288" s="87" t="inlineStr">
        <is>
          <t>12/05/2026</t>
        </is>
      </c>
      <c r="C288" s="87" t="inlineStr">
        <is>
          <t>SABHA INTELIGENCIA EM TECNOLOGIA LTDA</t>
        </is>
      </c>
      <c r="D288" s="87" t="inlineStr">
        <is>
          <t>NFS.5744</t>
        </is>
      </c>
      <c r="E288" s="87" t="inlineStr">
        <is>
          <t>106664/1</t>
        </is>
      </c>
      <c r="F288" s="87" t="inlineStr">
        <is>
          <t>Tetus</t>
        </is>
      </c>
      <c r="G288" s="87" t="inlineStr">
        <is>
          <t>T.I</t>
        </is>
      </c>
      <c r="H288" s="88" t="n">
        <v>741.1</v>
      </c>
    </row>
    <row r="289">
      <c r="A289" s="87" t="inlineStr">
        <is>
          <t>Mai/26</t>
        </is>
      </c>
      <c r="B289" s="87" t="inlineStr">
        <is>
          <t>21/05/2026</t>
        </is>
      </c>
      <c r="C289" s="87" t="inlineStr">
        <is>
          <t>SAO PAULO TRIBUNAL DE JUSTICA</t>
        </is>
      </c>
      <c r="D289" s="87" t="inlineStr">
        <is>
          <t>PROC.EXEC 406 C MORATTA</t>
        </is>
      </c>
      <c r="E289" s="87" t="inlineStr">
        <is>
          <t>107537/1</t>
        </is>
      </c>
      <c r="F289" s="87" t="inlineStr">
        <is>
          <t>Alencar Mazzeo</t>
        </is>
      </c>
      <c r="G289" s="87" t="inlineStr">
        <is>
          <t>Júridico</t>
        </is>
      </c>
      <c r="H289" s="88" t="n">
        <v>1523.3</v>
      </c>
    </row>
    <row r="290">
      <c r="A290" s="87" t="inlineStr">
        <is>
          <t>Mai/26</t>
        </is>
      </c>
      <c r="B290" s="87" t="inlineStr">
        <is>
          <t>04/05/2026</t>
        </is>
      </c>
      <c r="C290" s="87" t="inlineStr">
        <is>
          <t>SAO PAULO TRIBUNAL DE JUSTICA</t>
        </is>
      </c>
      <c r="D290" s="87" t="inlineStr">
        <is>
          <t>AV.Comp. Apel. 304 A Au</t>
        </is>
      </c>
      <c r="E290" s="87" t="inlineStr">
        <is>
          <t>103216/1</t>
        </is>
      </c>
      <c r="F290" s="87" t="inlineStr">
        <is>
          <t>Padre Eugênio</t>
        </is>
      </c>
      <c r="G290" s="87" t="inlineStr">
        <is>
          <t>Júridico</t>
        </is>
      </c>
      <c r="H290" s="88" t="n">
        <v>1171.72</v>
      </c>
    </row>
    <row r="291">
      <c r="A291" s="87" t="inlineStr">
        <is>
          <t>Mai/26</t>
        </is>
      </c>
      <c r="B291" s="87" t="inlineStr">
        <is>
          <t>29/05/2026</t>
        </is>
      </c>
      <c r="C291" s="87" t="inlineStr">
        <is>
          <t>SAO PAULO TRIBUNAL DE JUSTICA</t>
        </is>
      </c>
      <c r="D291" s="87" t="inlineStr">
        <is>
          <t>PROC.Custas Finais 110 A</t>
        </is>
      </c>
      <c r="E291" s="87" t="inlineStr">
        <is>
          <t>108251/1</t>
        </is>
      </c>
      <c r="F291" s="87" t="inlineStr">
        <is>
          <t>Padre Eugênio</t>
        </is>
      </c>
      <c r="G291" s="87" t="inlineStr">
        <is>
          <t>Júridico</t>
        </is>
      </c>
      <c r="H291" s="88" t="n">
        <v>1882.05</v>
      </c>
    </row>
    <row r="292">
      <c r="A292" s="87" t="inlineStr">
        <is>
          <t>Mai/26</t>
        </is>
      </c>
      <c r="B292" s="87" t="inlineStr">
        <is>
          <t>29/05/2026</t>
        </is>
      </c>
      <c r="C292" s="87" t="inlineStr">
        <is>
          <t>SAO PAULO TRIBUNAL DE JUSTICA</t>
        </is>
      </c>
      <c r="D292" s="87" t="inlineStr">
        <is>
          <t>PROC.Custas Finais 110 A</t>
        </is>
      </c>
      <c r="E292" s="87" t="inlineStr">
        <is>
          <t>108251/2</t>
        </is>
      </c>
      <c r="F292" s="87" t="inlineStr">
        <is>
          <t>Padre Eugênio</t>
        </is>
      </c>
      <c r="G292" s="87" t="inlineStr">
        <is>
          <t>Júridico</t>
        </is>
      </c>
      <c r="H292" s="88" t="n">
        <v>17.09</v>
      </c>
    </row>
    <row r="293">
      <c r="A293" s="87" t="inlineStr">
        <is>
          <t>Mai/26</t>
        </is>
      </c>
      <c r="B293" s="87" t="inlineStr">
        <is>
          <t>04/05/2026</t>
        </is>
      </c>
      <c r="C293" s="87" t="inlineStr">
        <is>
          <t>SAO PAULO TRIBUNAL DE JUSTICA</t>
        </is>
      </c>
      <c r="D293" s="87" t="inlineStr">
        <is>
          <t>AV.509B_A_</t>
        </is>
      </c>
      <c r="E293" s="87" t="inlineStr">
        <is>
          <t>105649/2</t>
        </is>
      </c>
      <c r="F293" s="87" t="inlineStr">
        <is>
          <t>Padre Eugênio</t>
        </is>
      </c>
      <c r="G293" s="87" t="inlineStr">
        <is>
          <t>Júridico</t>
        </is>
      </c>
      <c r="H293" s="88" t="n">
        <v>37.02</v>
      </c>
    </row>
    <row r="294">
      <c r="A294" s="87" t="inlineStr">
        <is>
          <t>Mai/26</t>
        </is>
      </c>
      <c r="B294" s="87" t="inlineStr">
        <is>
          <t>04/05/2026</t>
        </is>
      </c>
      <c r="C294" s="87" t="inlineStr">
        <is>
          <t>SAO PAULO TRIBUNAL DE JUSTICA</t>
        </is>
      </c>
      <c r="D294" s="87" t="inlineStr">
        <is>
          <t>AV.509B_A_</t>
        </is>
      </c>
      <c r="E294" s="87" t="inlineStr">
        <is>
          <t>105649/1</t>
        </is>
      </c>
      <c r="F294" s="87" t="inlineStr">
        <is>
          <t>Padre Eugênio</t>
        </is>
      </c>
      <c r="G294" s="87" t="inlineStr">
        <is>
          <t>Júridico</t>
        </is>
      </c>
      <c r="H294" s="88" t="n">
        <v>192.1</v>
      </c>
    </row>
    <row r="295">
      <c r="A295" s="87" t="inlineStr">
        <is>
          <t>Mai/26</t>
        </is>
      </c>
      <c r="B295" s="87" t="inlineStr">
        <is>
          <t>19/05/2026</t>
        </is>
      </c>
      <c r="C295" s="87" t="inlineStr">
        <is>
          <t>SAO PAULO TRIBUNAL DE JUSTICA</t>
        </is>
      </c>
      <c r="D295" s="87" t="inlineStr">
        <is>
          <t>AV.609B_A_</t>
        </is>
      </c>
      <c r="E295" s="87" t="inlineStr">
        <is>
          <t>107012/1</t>
        </is>
      </c>
      <c r="F295" s="87" t="inlineStr">
        <is>
          <t>Padre Eugênio</t>
        </is>
      </c>
      <c r="G295" s="87" t="inlineStr">
        <is>
          <t>Júridico</t>
        </is>
      </c>
      <c r="H295" s="88" t="n">
        <v>115.26</v>
      </c>
    </row>
    <row r="296">
      <c r="A296" s="87" t="inlineStr">
        <is>
          <t>Mai/26</t>
        </is>
      </c>
      <c r="B296" s="87" t="inlineStr">
        <is>
          <t>04/05/2026</t>
        </is>
      </c>
      <c r="C296" s="87" t="inlineStr">
        <is>
          <t>SAO PAULO TRIBUNAL DE JUSTICA</t>
        </is>
      </c>
      <c r="D296" s="87" t="inlineStr">
        <is>
          <t>AV.EXEC 1303 B Ver</t>
        </is>
      </c>
      <c r="E296" s="87" t="inlineStr">
        <is>
          <t>105945/1</t>
        </is>
      </c>
      <c r="F296" s="87" t="inlineStr">
        <is>
          <t>San Marino</t>
        </is>
      </c>
      <c r="G296" s="87" t="inlineStr">
        <is>
          <t>Júridico</t>
        </is>
      </c>
      <c r="H296" s="88" t="n">
        <v>830.24</v>
      </c>
    </row>
    <row r="297">
      <c r="A297" s="87" t="inlineStr">
        <is>
          <t>Mai/26</t>
        </is>
      </c>
      <c r="B297" s="87" t="inlineStr">
        <is>
          <t>21/05/2026</t>
        </is>
      </c>
      <c r="C297" s="87" t="inlineStr">
        <is>
          <t>SAO PAULO TRIBUNAL DE JUSTICA</t>
        </is>
      </c>
      <c r="D297" s="87" t="inlineStr">
        <is>
          <t>PROC.EXEC 1407 B VERANO</t>
        </is>
      </c>
      <c r="E297" s="87" t="inlineStr">
        <is>
          <t>107539/1</t>
        </is>
      </c>
      <c r="F297" s="87" t="inlineStr">
        <is>
          <t>San Marino</t>
        </is>
      </c>
      <c r="G297" s="87" t="inlineStr">
        <is>
          <t>Júridico</t>
        </is>
      </c>
      <c r="H297" s="88" t="n">
        <v>930.1900000000001</v>
      </c>
    </row>
    <row r="298">
      <c r="A298" s="87" t="inlineStr">
        <is>
          <t>Mai/26</t>
        </is>
      </c>
      <c r="B298" s="87" t="inlineStr">
        <is>
          <t>21/05/2026</t>
        </is>
      </c>
      <c r="C298" s="87" t="inlineStr">
        <is>
          <t>SAO PAULO TRIBUNAL DE JUSTICA</t>
        </is>
      </c>
      <c r="D298" s="87" t="inlineStr">
        <is>
          <t>PROC.EXEC 508 B VERANO</t>
        </is>
      </c>
      <c r="E298" s="87" t="inlineStr">
        <is>
          <t>107540/1</t>
        </is>
      </c>
      <c r="F298" s="87" t="inlineStr">
        <is>
          <t>San Marino</t>
        </is>
      </c>
      <c r="G298" s="87" t="inlineStr">
        <is>
          <t>Júridico</t>
        </is>
      </c>
      <c r="H298" s="88" t="n">
        <v>1442.69</v>
      </c>
    </row>
    <row r="299">
      <c r="A299" s="87" t="inlineStr">
        <is>
          <t>Mai/26</t>
        </is>
      </c>
      <c r="B299" s="87" t="inlineStr">
        <is>
          <t>26/05/2026</t>
        </is>
      </c>
      <c r="C299" s="87" t="inlineStr">
        <is>
          <t>SAO PAULO TRIBUNAL DE JUSTICA</t>
        </is>
      </c>
      <c r="D299" s="87" t="inlineStr">
        <is>
          <t>AV.Exec 603 B Verano</t>
        </is>
      </c>
      <c r="E299" s="87" t="inlineStr">
        <is>
          <t>108018/1</t>
        </is>
      </c>
      <c r="F299" s="87" t="inlineStr">
        <is>
          <t>San Marino</t>
        </is>
      </c>
      <c r="G299" s="87" t="inlineStr">
        <is>
          <t>Júridico</t>
        </is>
      </c>
      <c r="H299" s="88" t="n">
        <v>1269.99</v>
      </c>
    </row>
    <row r="300">
      <c r="A300" s="87" t="inlineStr">
        <is>
          <t>Mai/26</t>
        </is>
      </c>
      <c r="B300" s="87" t="inlineStr">
        <is>
          <t>04/05/2026</t>
        </is>
      </c>
      <c r="C300" s="87" t="inlineStr">
        <is>
          <t>SAO PAULO TRIBUNAL DE JUSTICA</t>
        </is>
      </c>
      <c r="D300" s="87" t="inlineStr">
        <is>
          <t>AV.1210A_V</t>
        </is>
      </c>
      <c r="E300" s="87" t="inlineStr">
        <is>
          <t>105648/1</t>
        </is>
      </c>
      <c r="F300" s="87" t="inlineStr">
        <is>
          <t>San Marino</t>
        </is>
      </c>
      <c r="G300" s="87" t="inlineStr">
        <is>
          <t>Júridico</t>
        </is>
      </c>
      <c r="H300" s="88" t="n">
        <v>1036.88</v>
      </c>
    </row>
    <row r="301">
      <c r="A301" s="87" t="inlineStr">
        <is>
          <t>Mai/26</t>
        </is>
      </c>
      <c r="B301" s="87" t="inlineStr">
        <is>
          <t>04/05/2026</t>
        </is>
      </c>
      <c r="C301" s="87" t="inlineStr">
        <is>
          <t>SAO PAULO TRIBUNAL DE JUSTICA</t>
        </is>
      </c>
      <c r="D301" s="87" t="inlineStr">
        <is>
          <t>AV.501A_V</t>
        </is>
      </c>
      <c r="E301" s="87" t="inlineStr">
        <is>
          <t>105652/1</t>
        </is>
      </c>
      <c r="F301" s="87" t="inlineStr">
        <is>
          <t>San Marino</t>
        </is>
      </c>
      <c r="G301" s="87" t="inlineStr">
        <is>
          <t>Júridico</t>
        </is>
      </c>
      <c r="H301" s="88" t="n">
        <v>192.1</v>
      </c>
    </row>
    <row r="302">
      <c r="A302" s="87" t="inlineStr">
        <is>
          <t>Mai/26</t>
        </is>
      </c>
      <c r="B302" s="87" t="inlineStr">
        <is>
          <t>12/05/2026</t>
        </is>
      </c>
      <c r="C302" s="87" t="inlineStr">
        <is>
          <t>SAO PAULO TRIBUNAL DE JUSTICA</t>
        </is>
      </c>
      <c r="D302" s="87" t="inlineStr">
        <is>
          <t>AV.V_02A</t>
        </is>
      </c>
      <c r="E302" s="87" t="inlineStr">
        <is>
          <t>106455/1</t>
        </is>
      </c>
      <c r="F302" s="87" t="inlineStr">
        <is>
          <t>San Marino</t>
        </is>
      </c>
      <c r="G302" s="87" t="inlineStr">
        <is>
          <t>Júridico</t>
        </is>
      </c>
      <c r="H302" s="88" t="n">
        <v>38.42</v>
      </c>
    </row>
    <row r="303">
      <c r="A303" s="87" t="inlineStr">
        <is>
          <t>Mai/26</t>
        </is>
      </c>
      <c r="B303" s="87" t="inlineStr">
        <is>
          <t>20/05/2026</t>
        </is>
      </c>
      <c r="C303" s="87" t="inlineStr">
        <is>
          <t>SAO PAULO TRIBUNAL DE JUSTICA</t>
        </is>
      </c>
      <c r="D303" s="87" t="inlineStr">
        <is>
          <t>AV.Guia_501A</t>
        </is>
      </c>
      <c r="E303" s="87" t="inlineStr">
        <is>
          <t>108712/1</t>
        </is>
      </c>
      <c r="F303" s="87" t="inlineStr">
        <is>
          <t>San Marino</t>
        </is>
      </c>
      <c r="G303" s="87" t="inlineStr">
        <is>
          <t>Júridico</t>
        </is>
      </c>
      <c r="H303" s="88" t="n">
        <v>260.8</v>
      </c>
    </row>
    <row r="304">
      <c r="A304" s="87" t="inlineStr">
        <is>
          <t>Mai/26</t>
        </is>
      </c>
      <c r="B304" s="87" t="inlineStr">
        <is>
          <t>29/05/2026</t>
        </is>
      </c>
      <c r="C304" s="87" t="inlineStr">
        <is>
          <t>SAO PAULO TRIBUNAL DE JUSTICA</t>
        </is>
      </c>
      <c r="D304" s="87" t="inlineStr">
        <is>
          <t>PROC.802B_V_</t>
        </is>
      </c>
      <c r="E304" s="87" t="inlineStr">
        <is>
          <t>107985/1</t>
        </is>
      </c>
      <c r="F304" s="87" t="inlineStr">
        <is>
          <t>San Marino</t>
        </is>
      </c>
      <c r="G304" s="87" t="inlineStr">
        <is>
          <t>Júridico</t>
        </is>
      </c>
      <c r="H304" s="88" t="n">
        <v>38.42</v>
      </c>
    </row>
    <row r="305">
      <c r="A305" s="87" t="inlineStr">
        <is>
          <t>Mai/26</t>
        </is>
      </c>
      <c r="B305" s="87" t="inlineStr">
        <is>
          <t>04/05/2026</t>
        </is>
      </c>
      <c r="C305" s="87" t="inlineStr">
        <is>
          <t>SAO PAULO TRIBUNAL DE JUSTICA</t>
        </is>
      </c>
      <c r="D305" s="87" t="inlineStr">
        <is>
          <t>AV.309C_V_</t>
        </is>
      </c>
      <c r="E305" s="87" t="inlineStr">
        <is>
          <t>105650/1</t>
        </is>
      </c>
      <c r="F305" s="87" t="inlineStr">
        <is>
          <t>San Marino</t>
        </is>
      </c>
      <c r="G305" s="87" t="inlineStr">
        <is>
          <t>Júridico</t>
        </is>
      </c>
      <c r="H305" s="88" t="n">
        <v>37.02</v>
      </c>
    </row>
    <row r="306">
      <c r="A306" s="87" t="inlineStr">
        <is>
          <t>Mai/26</t>
        </is>
      </c>
      <c r="B306" s="87" t="inlineStr">
        <is>
          <t>06/05/2026</t>
        </is>
      </c>
      <c r="C306" s="87" t="inlineStr">
        <is>
          <t>SAO PAULO TRIBUNAL DE JUSTICA</t>
        </is>
      </c>
      <c r="D306" s="87" t="inlineStr">
        <is>
          <t>AV.PROC JUD TOTEM VITA</t>
        </is>
      </c>
      <c r="E306" s="87" t="inlineStr">
        <is>
          <t>106791/1</t>
        </is>
      </c>
      <c r="F306" s="87" t="inlineStr">
        <is>
          <t>FGV</t>
        </is>
      </c>
      <c r="G306" s="87" t="inlineStr">
        <is>
          <t>Júridico</t>
        </is>
      </c>
      <c r="H306" s="88" t="n">
        <v>226.45</v>
      </c>
    </row>
    <row r="307">
      <c r="A307" s="87" t="inlineStr">
        <is>
          <t>Mai/26</t>
        </is>
      </c>
      <c r="B307" s="87" t="inlineStr">
        <is>
          <t>25/05/2026</t>
        </is>
      </c>
      <c r="C307" s="87" t="inlineStr">
        <is>
          <t>SAO PAULO TRIBUNAL DE JUSTICA</t>
        </is>
      </c>
      <c r="D307" s="87" t="inlineStr">
        <is>
          <t>PROC.TETUS_CJ</t>
        </is>
      </c>
      <c r="E307" s="87" t="inlineStr">
        <is>
          <t>108056/1</t>
        </is>
      </c>
      <c r="F307" s="87" t="inlineStr">
        <is>
          <t>Tetus</t>
        </is>
      </c>
      <c r="G307" s="87" t="inlineStr">
        <is>
          <t>Júridico</t>
        </is>
      </c>
      <c r="H307" s="88" t="n">
        <v>150</v>
      </c>
    </row>
    <row r="308">
      <c r="A308" s="87" t="inlineStr">
        <is>
          <t>Mai/26</t>
        </is>
      </c>
      <c r="B308" s="87" t="inlineStr">
        <is>
          <t>25/05/2026</t>
        </is>
      </c>
      <c r="C308" s="87" t="inlineStr">
        <is>
          <t>SERASA S.A.</t>
        </is>
      </c>
      <c r="D308" s="87" t="inlineStr">
        <is>
          <t>NFS.705759</t>
        </is>
      </c>
      <c r="E308" s="87" t="inlineStr">
        <is>
          <t>107864/1</t>
        </is>
      </c>
      <c r="F308" s="87" t="inlineStr">
        <is>
          <t>Tetus</t>
        </is>
      </c>
      <c r="G308" s="87" t="inlineStr">
        <is>
          <t>Júridico</t>
        </is>
      </c>
      <c r="H308" s="88" t="n">
        <v>11.43</v>
      </c>
    </row>
    <row r="309">
      <c r="A309" s="87" t="inlineStr">
        <is>
          <t>Mai/26</t>
        </is>
      </c>
      <c r="B309" s="87" t="inlineStr">
        <is>
          <t>18/05/2026</t>
        </is>
      </c>
      <c r="C309" s="87" t="inlineStr">
        <is>
          <t>TAUBATE CARTORIO DE REGISTRO CIVIL E TABELIONATO DE QUIRIRIM</t>
        </is>
      </c>
      <c r="D309" s="87" t="inlineStr">
        <is>
          <t>FAT.04.2026</t>
        </is>
      </c>
      <c r="E309" s="87" t="inlineStr">
        <is>
          <t>107313/1</t>
        </is>
      </c>
      <c r="F309" s="87" t="inlineStr">
        <is>
          <t>Tetus</t>
        </is>
      </c>
      <c r="G309" s="87" t="inlineStr">
        <is>
          <t>Júridico</t>
        </is>
      </c>
      <c r="H309" s="88" t="n">
        <v>47.41</v>
      </c>
    </row>
    <row r="310">
      <c r="A310" s="87" t="inlineStr">
        <is>
          <t>Mai/26</t>
        </is>
      </c>
      <c r="B310" s="87" t="inlineStr">
        <is>
          <t>08/05/2026</t>
        </is>
      </c>
      <c r="C310" s="87" t="inlineStr">
        <is>
          <t>THAMAR VICTORIA BARBOSA E SOUZA</t>
        </is>
      </c>
      <c r="D310" s="87" t="inlineStr">
        <is>
          <t>CX.JUR_REEMBOLSO</t>
        </is>
      </c>
      <c r="E310" s="87" t="inlineStr">
        <is>
          <t>106164/1</t>
        </is>
      </c>
      <c r="F310" s="87" t="inlineStr">
        <is>
          <t>Tetus</t>
        </is>
      </c>
      <c r="G310" s="87" t="inlineStr">
        <is>
          <t>Júridico</t>
        </is>
      </c>
      <c r="H310" s="88" t="n">
        <v>102.98</v>
      </c>
    </row>
    <row r="311">
      <c r="A311" s="87" t="inlineStr">
        <is>
          <t>Mai/26</t>
        </is>
      </c>
      <c r="B311" s="87" t="inlineStr">
        <is>
          <t>25/05/2026</t>
        </is>
      </c>
      <c r="C311" s="87" t="inlineStr">
        <is>
          <t>VC1 SOLUCOES EM TECNOLOGIA EIRELI</t>
        </is>
      </c>
      <c r="D311" s="87" t="inlineStr">
        <is>
          <t>BOL.29637</t>
        </is>
      </c>
      <c r="E311" s="87" t="inlineStr">
        <is>
          <t>108040/1</t>
        </is>
      </c>
      <c r="F311" s="87" t="inlineStr">
        <is>
          <t>Tetus</t>
        </is>
      </c>
      <c r="G311" s="87" t="inlineStr">
        <is>
          <t>T.I</t>
        </is>
      </c>
      <c r="H311" s="88" t="n">
        <v>137.92</v>
      </c>
    </row>
    <row r="312">
      <c r="A312" s="87" t="inlineStr">
        <is>
          <t>Mai/26</t>
        </is>
      </c>
      <c r="B312" s="87" t="inlineStr">
        <is>
          <t>07/05/2026</t>
        </is>
      </c>
      <c r="C312" s="87" t="inlineStr">
        <is>
          <t>VINICIUS DI FRANCO HEITOR</t>
        </is>
      </c>
      <c r="D312" s="87" t="inlineStr">
        <is>
          <t>SAL.sal 042026</t>
        </is>
      </c>
      <c r="E312" s="87" t="inlineStr">
        <is>
          <t>106947/1</t>
        </is>
      </c>
      <c r="F312" s="87" t="inlineStr">
        <is>
          <t>Tetus</t>
        </is>
      </c>
      <c r="G312" s="87" t="inlineStr">
        <is>
          <t>T.I</t>
        </is>
      </c>
      <c r="H312" s="88" t="n">
        <v>1483</v>
      </c>
    </row>
    <row r="313">
      <c r="A313" s="87" t="inlineStr">
        <is>
          <t>Mai/26</t>
        </is>
      </c>
      <c r="B313" s="87" t="inlineStr">
        <is>
          <t>20/05/2026</t>
        </is>
      </c>
      <c r="C313" s="87" t="inlineStr">
        <is>
          <t>VINICIUS DI FRANCO HEITOR</t>
        </is>
      </c>
      <c r="D313" s="87" t="inlineStr">
        <is>
          <t>SAL.vale 052026</t>
        </is>
      </c>
      <c r="E313" s="87" t="inlineStr">
        <is>
          <t>108156/1</t>
        </is>
      </c>
      <c r="F313" s="87" t="inlineStr">
        <is>
          <t>Tetus</t>
        </is>
      </c>
      <c r="G313" s="87" t="inlineStr">
        <is>
          <t>T.I</t>
        </is>
      </c>
      <c r="H313" s="88" t="n">
        <v>1029</v>
      </c>
    </row>
    <row r="314">
      <c r="A314" s="87" t="inlineStr">
        <is>
          <t>Mai/26</t>
        </is>
      </c>
      <c r="B314" s="87" t="inlineStr">
        <is>
          <t>2026-05-20 00:00:00</t>
        </is>
      </c>
      <c r="C314" s="87" t="inlineStr">
        <is>
          <t>VINICIUS DI FRANCO HEITOR</t>
        </is>
      </c>
      <c r="D314" s="87" t="inlineStr">
        <is>
          <t>FGTS/INSS</t>
        </is>
      </c>
      <c r="E314" s="87" t="inlineStr">
        <is>
          <t>113754/5</t>
        </is>
      </c>
      <c r="F314" s="87" t="inlineStr">
        <is>
          <t>Tetus</t>
        </is>
      </c>
      <c r="G314" s="87" t="inlineStr">
        <is>
          <t>T.I</t>
        </is>
      </c>
      <c r="H314" s="88" t="n">
        <v>207.04</v>
      </c>
    </row>
    <row r="315">
      <c r="A315" s="87" t="inlineStr">
        <is>
          <t>Mai/26</t>
        </is>
      </c>
      <c r="B315" s="87" t="inlineStr">
        <is>
          <t>2026-05-01 00:00:00</t>
        </is>
      </c>
      <c r="C315" s="87" t="inlineStr">
        <is>
          <t>Vale Alimentação Vinicius</t>
        </is>
      </c>
      <c r="D315" s="87" t="inlineStr"/>
      <c r="E315" s="87" t="inlineStr"/>
      <c r="F315" s="87" t="inlineStr">
        <is>
          <t>Tetus</t>
        </is>
      </c>
      <c r="G315" s="87" t="inlineStr">
        <is>
          <t>T.I</t>
        </is>
      </c>
      <c r="H315" s="88" t="n">
        <v>485</v>
      </c>
    </row>
    <row r="316">
      <c r="A316" s="87" t="inlineStr">
        <is>
          <t>Mai/26</t>
        </is>
      </c>
      <c r="B316" s="87" t="inlineStr">
        <is>
          <t>25/05/2026</t>
        </is>
      </c>
      <c r="C316" s="87" t="inlineStr">
        <is>
          <t>WEB MOBILE TELECOM LTDA</t>
        </is>
      </c>
      <c r="D316" s="87" t="inlineStr">
        <is>
          <t>NFS.1631</t>
        </is>
      </c>
      <c r="E316" s="87" t="inlineStr">
        <is>
          <t>107973/1</t>
        </is>
      </c>
      <c r="F316" s="87" t="inlineStr">
        <is>
          <t>Tetus</t>
        </is>
      </c>
      <c r="G316" s="87" t="inlineStr">
        <is>
          <t>T.I</t>
        </is>
      </c>
      <c r="H316" s="88" t="n">
        <v>75</v>
      </c>
    </row>
    <row r="317">
      <c r="A317" s="87" t="inlineStr">
        <is>
          <t>Jun/26</t>
        </is>
      </c>
      <c r="B317" s="87" t="inlineStr">
        <is>
          <t>01/06/2026</t>
        </is>
      </c>
      <c r="C317" s="87" t="inlineStr">
        <is>
          <t>61.582.518 MIGUEL CLEPF PASSOS</t>
        </is>
      </c>
      <c r="D317" s="87" t="inlineStr">
        <is>
          <t>NFS.12</t>
        </is>
      </c>
      <c r="E317" s="87" t="inlineStr">
        <is>
          <t>108277/1</t>
        </is>
      </c>
      <c r="F317" s="87" t="inlineStr">
        <is>
          <t>Tetus</t>
        </is>
      </c>
      <c r="G317" s="87" t="inlineStr">
        <is>
          <t>Júridico</t>
        </is>
      </c>
      <c r="H317" s="88" t="n">
        <v>6750</v>
      </c>
    </row>
    <row r="318">
      <c r="A318" s="87" t="inlineStr">
        <is>
          <t>Jun/26</t>
        </is>
      </c>
      <c r="B318" s="87" t="inlineStr">
        <is>
          <t>15/06/2026</t>
        </is>
      </c>
      <c r="C318" s="87" t="inlineStr">
        <is>
          <t>ADAPTA EDUCACAO LTDA</t>
        </is>
      </c>
      <c r="D318" s="87" t="inlineStr">
        <is>
          <t>AV.4134643529</t>
        </is>
      </c>
      <c r="E318" s="87" t="inlineStr">
        <is>
          <t>89562/8</t>
        </is>
      </c>
      <c r="F318" s="87" t="inlineStr">
        <is>
          <t>Tetus</t>
        </is>
      </c>
      <c r="G318" s="87" t="inlineStr">
        <is>
          <t>Júridico</t>
        </is>
      </c>
      <c r="H318" s="88" t="n">
        <v>476</v>
      </c>
    </row>
    <row r="319">
      <c r="A319" s="87" t="inlineStr">
        <is>
          <t>Jun/26</t>
        </is>
      </c>
      <c r="B319" s="87" t="inlineStr">
        <is>
          <t>30/06/2026</t>
        </is>
      </c>
      <c r="C319" s="87" t="inlineStr">
        <is>
          <t>ADRIELE DAS GRAÇAS CASTELAR</t>
        </is>
      </c>
      <c r="D319" s="87" t="inlineStr">
        <is>
          <t>AV.REEMBOLSO UND. 1209B</t>
        </is>
      </c>
      <c r="E319" s="87" t="inlineStr">
        <is>
          <t>108027/1</t>
        </is>
      </c>
      <c r="F319" s="87" t="inlineStr">
        <is>
          <t>Padre Eugênio</t>
        </is>
      </c>
      <c r="G319" s="87" t="inlineStr">
        <is>
          <t>Júridico</t>
        </is>
      </c>
      <c r="H319" s="88" t="n">
        <v>30.83</v>
      </c>
    </row>
    <row r="320">
      <c r="A320" s="87" t="inlineStr">
        <is>
          <t>Jun/26</t>
        </is>
      </c>
      <c r="B320" s="87" t="inlineStr">
        <is>
          <t>05/06/2026</t>
        </is>
      </c>
      <c r="C320" s="87" t="inlineStr">
        <is>
          <t>ALFAMA PROCESSAMENTO DE DADOS LTDA</t>
        </is>
      </c>
      <c r="D320" s="87" t="inlineStr">
        <is>
          <t>AV.1015392</t>
        </is>
      </c>
      <c r="E320" s="87" t="inlineStr">
        <is>
          <t>108925/1</t>
        </is>
      </c>
      <c r="F320" s="87" t="inlineStr">
        <is>
          <t>Tetus</t>
        </is>
      </c>
      <c r="G320" s="87" t="inlineStr">
        <is>
          <t>T.I</t>
        </is>
      </c>
      <c r="H320" s="88" t="n">
        <v>183.6</v>
      </c>
    </row>
    <row r="321">
      <c r="A321" s="87" t="inlineStr">
        <is>
          <t>Jun/26</t>
        </is>
      </c>
      <c r="B321" s="87" t="inlineStr">
        <is>
          <t>03/06/2026</t>
        </is>
      </c>
      <c r="C321" s="87" t="inlineStr">
        <is>
          <t>CAIXA ECONOMICA FEDERAL</t>
        </is>
      </c>
      <c r="D321" s="87" t="inlineStr">
        <is>
          <t>AV.Bol.Jun/26 105 A Aur</t>
        </is>
      </c>
      <c r="E321" s="87" t="inlineStr">
        <is>
          <t>108358/1</t>
        </is>
      </c>
      <c r="F321" s="87" t="inlineStr">
        <is>
          <t>Padre Eugênio</t>
        </is>
      </c>
      <c r="G321" s="87" t="inlineStr">
        <is>
          <t>Júridico</t>
        </is>
      </c>
      <c r="H321" s="88" t="n">
        <v>867.88</v>
      </c>
    </row>
    <row r="322">
      <c r="A322" s="87" t="inlineStr">
        <is>
          <t>Jun/26</t>
        </is>
      </c>
      <c r="B322" s="87" t="inlineStr">
        <is>
          <t>01/06/2026</t>
        </is>
      </c>
      <c r="C322" s="87" t="inlineStr">
        <is>
          <t>CARNEIRO RABELO SOCIEDADE INDIVIDUAL DE ADVOCACIA</t>
        </is>
      </c>
      <c r="D322" s="87" t="inlineStr">
        <is>
          <t>NFS.64</t>
        </is>
      </c>
      <c r="E322" s="87" t="inlineStr">
        <is>
          <t>108586/1</t>
        </is>
      </c>
      <c r="F322" s="87" t="inlineStr">
        <is>
          <t>Tetus</t>
        </is>
      </c>
      <c r="G322" s="87" t="inlineStr">
        <is>
          <t>Júridico</t>
        </is>
      </c>
      <c r="H322" s="88" t="n">
        <v>17632.15</v>
      </c>
    </row>
    <row r="323">
      <c r="A323" s="87" t="inlineStr">
        <is>
          <t>Jun/26</t>
        </is>
      </c>
      <c r="B323" s="87" t="inlineStr">
        <is>
          <t>11/06/2026</t>
        </is>
      </c>
      <c r="C323" s="87" t="inlineStr">
        <is>
          <t>CARTÓRIO DE IMÓVEIS DE JACAREI</t>
        </is>
      </c>
      <c r="D323" s="87" t="inlineStr">
        <is>
          <t>AV.PROTOCOLO</t>
        </is>
      </c>
      <c r="E323" s="87" t="inlineStr">
        <is>
          <t>110496/1</t>
        </is>
      </c>
      <c r="F323" s="87" t="inlineStr">
        <is>
          <t>Orlando Narcizo</t>
        </is>
      </c>
      <c r="G323" s="87" t="inlineStr">
        <is>
          <t>Júridico</t>
        </is>
      </c>
      <c r="H323" s="88" t="n">
        <v>81.56</v>
      </c>
    </row>
    <row r="324">
      <c r="A324" s="87" t="inlineStr">
        <is>
          <t>Jun/26</t>
        </is>
      </c>
      <c r="B324" s="87" t="inlineStr">
        <is>
          <t>30/06/2026</t>
        </is>
      </c>
      <c r="C324" s="87" t="inlineStr">
        <is>
          <t>CLARO S.A.</t>
        </is>
      </c>
      <c r="D324" s="87" t="inlineStr">
        <is>
          <t>FAT.21882309</t>
        </is>
      </c>
      <c r="E324" s="87" t="inlineStr">
        <is>
          <t>111124/1</t>
        </is>
      </c>
      <c r="F324" s="87" t="inlineStr">
        <is>
          <t>Tetus</t>
        </is>
      </c>
      <c r="G324" s="87" t="inlineStr">
        <is>
          <t>T.I</t>
        </is>
      </c>
      <c r="H324" s="88" t="n">
        <v>720</v>
      </c>
    </row>
    <row r="325">
      <c r="A325" s="87" t="inlineStr">
        <is>
          <t>Jun/26</t>
        </is>
      </c>
      <c r="B325" s="87" t="inlineStr">
        <is>
          <t>30/06/2026</t>
        </is>
      </c>
      <c r="C325" s="87" t="inlineStr">
        <is>
          <t>CLARO S.A.</t>
        </is>
      </c>
      <c r="D325" s="87" t="inlineStr">
        <is>
          <t>FAT.21882309</t>
        </is>
      </c>
      <c r="E325" s="87" t="inlineStr">
        <is>
          <t>111124/3</t>
        </is>
      </c>
      <c r="F325" s="87" t="inlineStr">
        <is>
          <t>Tetus</t>
        </is>
      </c>
      <c r="G325" s="87" t="inlineStr">
        <is>
          <t>T.I</t>
        </is>
      </c>
      <c r="H325" s="88" t="n">
        <v>20</v>
      </c>
    </row>
    <row r="326">
      <c r="A326" s="87" t="inlineStr">
        <is>
          <t>Jun/26</t>
        </is>
      </c>
      <c r="B326" s="87" t="inlineStr">
        <is>
          <t>24/06/2026</t>
        </is>
      </c>
      <c r="C326" s="87" t="inlineStr">
        <is>
          <t>CLICKSIGN GESTAO DE DOCUMENTOS S/A</t>
        </is>
      </c>
      <c r="D326" s="87" t="inlineStr">
        <is>
          <t>NFS.604571</t>
        </is>
      </c>
      <c r="E326" s="87" t="inlineStr">
        <is>
          <t>110914/1</t>
        </is>
      </c>
      <c r="F326" s="87" t="inlineStr">
        <is>
          <t>Tetus</t>
        </is>
      </c>
      <c r="G326" s="87" t="inlineStr">
        <is>
          <t>Júridico</t>
        </is>
      </c>
      <c r="H326" s="88" t="n">
        <v>439.58</v>
      </c>
    </row>
    <row r="327">
      <c r="A327" s="87" t="inlineStr">
        <is>
          <t>Jun/26</t>
        </is>
      </c>
      <c r="B327" s="87" t="inlineStr">
        <is>
          <t>04/06/2026</t>
        </is>
      </c>
      <c r="C327" s="87" t="inlineStr">
        <is>
          <t>Cristiane Carneiro Rabelo</t>
        </is>
      </c>
      <c r="D327" s="87" t="inlineStr">
        <is>
          <t>CX.TESTE CLAUDE.AI</t>
        </is>
      </c>
      <c r="E327" s="87" t="inlineStr">
        <is>
          <t>108589/1</t>
        </is>
      </c>
      <c r="F327" s="87" t="inlineStr">
        <is>
          <t>Tetus</t>
        </is>
      </c>
      <c r="G327" s="87" t="inlineStr">
        <is>
          <t>Júridico</t>
        </is>
      </c>
      <c r="H327" s="88" t="n">
        <v>550</v>
      </c>
    </row>
    <row r="328">
      <c r="A328" s="87" t="inlineStr">
        <is>
          <t>Jun/26</t>
        </is>
      </c>
      <c r="B328" s="87" t="inlineStr">
        <is>
          <t>23/06/2026</t>
        </is>
      </c>
      <c r="C328" s="87" t="inlineStr">
        <is>
          <t>Cristiane Carneiro Rabelo</t>
        </is>
      </c>
      <c r="D328" s="87" t="inlineStr">
        <is>
          <t>CX.OPEN.AI.16.06</t>
        </is>
      </c>
      <c r="E328" s="87" t="inlineStr">
        <is>
          <t>110545/1</t>
        </is>
      </c>
      <c r="F328" s="87" t="inlineStr">
        <is>
          <t>Tetus</t>
        </is>
      </c>
      <c r="G328" s="87" t="inlineStr">
        <is>
          <t>Júridico</t>
        </is>
      </c>
      <c r="H328" s="88" t="n">
        <v>549.9</v>
      </c>
    </row>
    <row r="329">
      <c r="A329" s="87" t="inlineStr">
        <is>
          <t>Jun/26</t>
        </is>
      </c>
      <c r="B329" s="87" t="inlineStr">
        <is>
          <t>07/06/2026</t>
        </is>
      </c>
      <c r="C329" s="87" t="inlineStr">
        <is>
          <t>EDITORA E DISTRIBUIDORA EDUCACIONAL S/A</t>
        </is>
      </c>
      <c r="D329" s="87" t="inlineStr">
        <is>
          <t>AV.MENSALIDADE 26</t>
        </is>
      </c>
      <c r="E329" s="87" t="inlineStr">
        <is>
          <t>94807/6</t>
        </is>
      </c>
      <c r="F329" s="87" t="inlineStr">
        <is>
          <t>Tetus</t>
        </is>
      </c>
      <c r="G329" s="87" t="inlineStr">
        <is>
          <t>Júridico</t>
        </is>
      </c>
      <c r="H329" s="88" t="n">
        <v>224.59</v>
      </c>
    </row>
    <row r="330">
      <c r="A330" s="87" t="inlineStr">
        <is>
          <t>Jun/26</t>
        </is>
      </c>
      <c r="B330" s="87" t="inlineStr">
        <is>
          <t>22/06/2026</t>
        </is>
      </c>
      <c r="C330" s="87" t="inlineStr">
        <is>
          <t>EMPRESA BRASILEIRA DE CORREIOS E TELEGRAFOS</t>
        </is>
      </c>
      <c r="D330" s="87" t="inlineStr">
        <is>
          <t>AV.AR 22.06</t>
        </is>
      </c>
      <c r="E330" s="87" t="inlineStr">
        <is>
          <t>111038/1</t>
        </is>
      </c>
      <c r="F330" s="87" t="inlineStr">
        <is>
          <t>Alencar Mazzeo</t>
        </is>
      </c>
      <c r="G330" s="87" t="inlineStr">
        <is>
          <t>Júridico</t>
        </is>
      </c>
      <c r="H330" s="88" t="n">
        <v>82.34999999999999</v>
      </c>
    </row>
    <row r="331">
      <c r="A331" s="87" t="inlineStr">
        <is>
          <t>Jun/26</t>
        </is>
      </c>
      <c r="B331" s="87" t="inlineStr">
        <is>
          <t>05/06/2026</t>
        </is>
      </c>
      <c r="C331" s="87" t="inlineStr">
        <is>
          <t>GEOVANA CAVALCANTI</t>
        </is>
      </c>
      <c r="D331" s="87" t="inlineStr">
        <is>
          <t>SAL.sal 052026</t>
        </is>
      </c>
      <c r="E331" s="87" t="inlineStr">
        <is>
          <t>109467/1</t>
        </is>
      </c>
      <c r="F331" s="87" t="inlineStr">
        <is>
          <t>Tetus</t>
        </is>
      </c>
      <c r="G331" s="87" t="inlineStr">
        <is>
          <t>Júridico</t>
        </is>
      </c>
      <c r="H331" s="88" t="n">
        <v>1822</v>
      </c>
    </row>
    <row r="332">
      <c r="A332" s="87" t="inlineStr">
        <is>
          <t>Jun/26</t>
        </is>
      </c>
      <c r="B332" s="87" t="inlineStr">
        <is>
          <t>19/06/2026</t>
        </is>
      </c>
      <c r="C332" s="87" t="inlineStr">
        <is>
          <t>GEOVANA CAVALCANTI</t>
        </is>
      </c>
      <c r="D332" s="87" t="inlineStr">
        <is>
          <t>SAL.SALARIO06GEOV</t>
        </is>
      </c>
      <c r="E332" s="87" t="inlineStr">
        <is>
          <t>110684/1</t>
        </is>
      </c>
      <c r="F332" s="87" t="inlineStr">
        <is>
          <t>Tetus</t>
        </is>
      </c>
      <c r="G332" s="87" t="inlineStr">
        <is>
          <t>Júridico</t>
        </is>
      </c>
      <c r="H332" s="88" t="n">
        <v>1155</v>
      </c>
    </row>
    <row r="333">
      <c r="A333" s="87" t="inlineStr">
        <is>
          <t>Jun/26</t>
        </is>
      </c>
      <c r="B333" s="87" t="inlineStr">
        <is>
          <t>22/06/2026</t>
        </is>
      </c>
      <c r="C333" s="87" t="inlineStr">
        <is>
          <t>INSTITUTO DE ESTUDOS DE PROTESTO DE TITULOS</t>
        </is>
      </c>
      <c r="D333" s="87" t="inlineStr">
        <is>
          <t>AV.Prot. San Marino</t>
        </is>
      </c>
      <c r="E333" s="87" t="inlineStr">
        <is>
          <t>111027/1</t>
        </is>
      </c>
      <c r="F333" s="87" t="inlineStr">
        <is>
          <t>San Marino</t>
        </is>
      </c>
      <c r="G333" s="87" t="inlineStr">
        <is>
          <t>Júridico</t>
        </is>
      </c>
      <c r="H333" s="88" t="n">
        <v>19.66</v>
      </c>
    </row>
    <row r="334">
      <c r="A334" s="87" t="inlineStr">
        <is>
          <t>Jun/26</t>
        </is>
      </c>
      <c r="B334" s="87" t="inlineStr">
        <is>
          <t>30/06/2026</t>
        </is>
      </c>
      <c r="C334" s="87" t="inlineStr">
        <is>
          <t>INTELBRAS S.A. INDUSTRIA DE TELECOMUNICACAO ELETRONICA BRASILEIRA</t>
        </is>
      </c>
      <c r="D334" s="87" t="inlineStr">
        <is>
          <t>NFS.373725</t>
        </is>
      </c>
      <c r="E334" s="87" t="inlineStr">
        <is>
          <t>110785/1</t>
        </is>
      </c>
      <c r="F334" s="87" t="inlineStr">
        <is>
          <t>Tetus</t>
        </is>
      </c>
      <c r="G334" s="87" t="inlineStr">
        <is>
          <t>T.I</t>
        </is>
      </c>
      <c r="H334" s="88" t="n">
        <v>79.59999999999999</v>
      </c>
    </row>
    <row r="335">
      <c r="A335" s="87" t="inlineStr">
        <is>
          <t>Jun/26</t>
        </is>
      </c>
      <c r="B335" s="87" t="inlineStr">
        <is>
          <t>01/06/2026</t>
        </is>
      </c>
      <c r="C335" s="87" t="inlineStr">
        <is>
          <t>INTELBRAS S.A. INDUSTRIA DE TELECOMUNICACAO ELETRONICA BRASILEIRA</t>
        </is>
      </c>
      <c r="D335" s="87" t="inlineStr">
        <is>
          <t>NFS.0036884701</t>
        </is>
      </c>
      <c r="E335" s="87" t="inlineStr">
        <is>
          <t>109295/1</t>
        </is>
      </c>
      <c r="F335" s="87" t="inlineStr">
        <is>
          <t>Tetus</t>
        </is>
      </c>
      <c r="G335" s="87" t="inlineStr">
        <is>
          <t>T.I</t>
        </is>
      </c>
      <c r="H335" s="88" t="n">
        <v>84.81999999999999</v>
      </c>
    </row>
    <row r="336">
      <c r="A336" s="87" t="inlineStr">
        <is>
          <t>Jun/26</t>
        </is>
      </c>
      <c r="B336" s="87" t="inlineStr">
        <is>
          <t>01/06/2026</t>
        </is>
      </c>
      <c r="C336" s="87" t="inlineStr">
        <is>
          <t>J H ALVES - MONITOR REMOTO</t>
        </is>
      </c>
      <c r="D336" s="87" t="inlineStr">
        <is>
          <t>NFS.78</t>
        </is>
      </c>
      <c r="E336" s="87" t="inlineStr">
        <is>
          <t>108317/1</t>
        </is>
      </c>
      <c r="F336" s="87" t="inlineStr">
        <is>
          <t>Tetus</t>
        </is>
      </c>
      <c r="G336" s="87" t="inlineStr">
        <is>
          <t>T.I</t>
        </is>
      </c>
      <c r="H336" s="88" t="n">
        <v>6173.37</v>
      </c>
    </row>
    <row r="337">
      <c r="A337" s="87" t="inlineStr">
        <is>
          <t>Jun/26</t>
        </is>
      </c>
      <c r="B337" s="87" t="inlineStr">
        <is>
          <t>15/06/2026</t>
        </is>
      </c>
      <c r="C337" s="87" t="inlineStr">
        <is>
          <t>LEME INTELIGENCIA FORENSE E CONSULTORIA EMPRESARIAL LTDA</t>
        </is>
      </c>
      <c r="D337" s="87" t="inlineStr">
        <is>
          <t>NFS.21651</t>
        </is>
      </c>
      <c r="E337" s="87" t="inlineStr">
        <is>
          <t>109605/1</t>
        </is>
      </c>
      <c r="F337" s="87" t="inlineStr">
        <is>
          <t>Tetus</t>
        </is>
      </c>
      <c r="G337" s="87" t="inlineStr">
        <is>
          <t>Júridico</t>
        </is>
      </c>
      <c r="H337" s="88" t="n">
        <v>1038.65</v>
      </c>
    </row>
    <row r="338">
      <c r="A338" s="87" t="inlineStr">
        <is>
          <t>Jun/26</t>
        </is>
      </c>
      <c r="B338" s="87" t="inlineStr">
        <is>
          <t>08/06/2026</t>
        </is>
      </c>
      <c r="C338" s="87" t="inlineStr">
        <is>
          <t>MICHELE DE OLIVEIRA SILVA</t>
        </is>
      </c>
      <c r="D338" s="87" t="inlineStr">
        <is>
          <t>HON.HON_909A TAMIRIS</t>
        </is>
      </c>
      <c r="E338" s="87" t="inlineStr">
        <is>
          <t>59781/18</t>
        </is>
      </c>
      <c r="F338" s="87" t="inlineStr">
        <is>
          <t>Padre Eugênio</t>
        </is>
      </c>
      <c r="G338" s="87" t="inlineStr">
        <is>
          <t>Júridico</t>
        </is>
      </c>
      <c r="H338" s="88" t="n">
        <v>66.06</v>
      </c>
    </row>
    <row r="339">
      <c r="A339" s="87" t="inlineStr">
        <is>
          <t>Jun/26</t>
        </is>
      </c>
      <c r="B339" s="87" t="inlineStr">
        <is>
          <t>08/06/2026</t>
        </is>
      </c>
      <c r="C339" s="87" t="inlineStr">
        <is>
          <t>MICHELE DE OLIVEIRA SILVA</t>
        </is>
      </c>
      <c r="D339" s="87" t="inlineStr">
        <is>
          <t>AV.HON_1310A</t>
        </is>
      </c>
      <c r="E339" s="87" t="inlineStr">
        <is>
          <t>81462/11</t>
        </is>
      </c>
      <c r="F339" s="87" t="inlineStr">
        <is>
          <t>Padre Eugênio</t>
        </is>
      </c>
      <c r="G339" s="87" t="inlineStr">
        <is>
          <t>Júridico</t>
        </is>
      </c>
      <c r="H339" s="88" t="n">
        <v>144.34</v>
      </c>
    </row>
    <row r="340">
      <c r="A340" s="87" t="inlineStr">
        <is>
          <t>Jun/26</t>
        </is>
      </c>
      <c r="B340" s="87" t="inlineStr">
        <is>
          <t>08/06/2026</t>
        </is>
      </c>
      <c r="C340" s="87" t="inlineStr">
        <is>
          <t>MICHELE DE OLIVEIRA SILVA</t>
        </is>
      </c>
      <c r="D340" s="87" t="inlineStr">
        <is>
          <t>AV.HON_802A</t>
        </is>
      </c>
      <c r="E340" s="87" t="inlineStr">
        <is>
          <t>89206/8</t>
        </is>
      </c>
      <c r="F340" s="87" t="inlineStr">
        <is>
          <t>Padre Eugênio</t>
        </is>
      </c>
      <c r="G340" s="87" t="inlineStr">
        <is>
          <t>Júridico</t>
        </is>
      </c>
      <c r="H340" s="88" t="n">
        <v>116.62</v>
      </c>
    </row>
    <row r="341">
      <c r="A341" s="87" t="inlineStr">
        <is>
          <t>Jun/26</t>
        </is>
      </c>
      <c r="B341" s="87" t="inlineStr">
        <is>
          <t>08/06/2026</t>
        </is>
      </c>
      <c r="C341" s="87" t="inlineStr">
        <is>
          <t>MICHELE DE OLIVEIRA SILVA</t>
        </is>
      </c>
      <c r="D341" s="87" t="inlineStr">
        <is>
          <t>AV.HONORARIOS_1008B</t>
        </is>
      </c>
      <c r="E341" s="87" t="inlineStr">
        <is>
          <t>92298/7</t>
        </is>
      </c>
      <c r="F341" s="87" t="inlineStr">
        <is>
          <t>Padre Eugênio</t>
        </is>
      </c>
      <c r="G341" s="87" t="inlineStr">
        <is>
          <t>Júridico</t>
        </is>
      </c>
      <c r="H341" s="88" t="n">
        <v>42.28</v>
      </c>
    </row>
    <row r="342">
      <c r="A342" s="87" t="inlineStr">
        <is>
          <t>Jun/26</t>
        </is>
      </c>
      <c r="B342" s="87" t="inlineStr">
        <is>
          <t>11/06/2026</t>
        </is>
      </c>
      <c r="C342" s="87" t="inlineStr">
        <is>
          <t>MICHELE DE OLIVEIRA SILVA</t>
        </is>
      </c>
      <c r="D342" s="87" t="inlineStr">
        <is>
          <t>AV.PROCESSO 102B VERANO</t>
        </is>
      </c>
      <c r="E342" s="87" t="inlineStr">
        <is>
          <t>109927/1</t>
        </is>
      </c>
      <c r="F342" s="87" t="inlineStr">
        <is>
          <t>San Marino</t>
        </is>
      </c>
      <c r="G342" s="87" t="inlineStr">
        <is>
          <t>Júridico</t>
        </is>
      </c>
      <c r="H342" s="88" t="n">
        <v>138.09</v>
      </c>
    </row>
    <row r="343">
      <c r="A343" s="87" t="inlineStr">
        <is>
          <t>Jun/26</t>
        </is>
      </c>
      <c r="B343" s="87" t="inlineStr">
        <is>
          <t>10/06/2026</t>
        </is>
      </c>
      <c r="C343" s="87" t="inlineStr">
        <is>
          <t>MICHELE DE OLIVEIRA SILVA</t>
        </is>
      </c>
      <c r="D343" s="87" t="inlineStr">
        <is>
          <t>AV.HON. 304C VERANO</t>
        </is>
      </c>
      <c r="E343" s="87" t="inlineStr">
        <is>
          <t>78609/13</t>
        </is>
      </c>
      <c r="F343" s="87" t="inlineStr">
        <is>
          <t>San Marino</t>
        </is>
      </c>
      <c r="G343" s="87" t="inlineStr">
        <is>
          <t>Júridico</t>
        </is>
      </c>
      <c r="H343" s="88" t="n">
        <v>234.31</v>
      </c>
    </row>
    <row r="344">
      <c r="A344" s="87" t="inlineStr">
        <is>
          <t>Jun/26</t>
        </is>
      </c>
      <c r="B344" s="87" t="inlineStr">
        <is>
          <t>10/06/2026</t>
        </is>
      </c>
      <c r="C344" s="87" t="inlineStr">
        <is>
          <t>MICHELE DE OLIVEIRA SILVA</t>
        </is>
      </c>
      <c r="D344" s="87" t="inlineStr">
        <is>
          <t>AV.HONORARIOS 406B</t>
        </is>
      </c>
      <c r="E344" s="87" t="inlineStr">
        <is>
          <t>94390/6</t>
        </is>
      </c>
      <c r="F344" s="87" t="inlineStr">
        <is>
          <t>San Marino</t>
        </is>
      </c>
      <c r="G344" s="87" t="inlineStr">
        <is>
          <t>Júridico</t>
        </is>
      </c>
      <c r="H344" s="88" t="n">
        <v>96.09999999999999</v>
      </c>
    </row>
    <row r="345">
      <c r="A345" s="87" t="inlineStr">
        <is>
          <t>Jun/26</t>
        </is>
      </c>
      <c r="B345" s="87" t="inlineStr">
        <is>
          <t>11/06/2026</t>
        </is>
      </c>
      <c r="C345" s="87" t="inlineStr">
        <is>
          <t>MICHELE DE OLIVEIRA SILVA</t>
        </is>
      </c>
      <c r="D345" s="87" t="inlineStr">
        <is>
          <t>HON.HON. PROCESSO 1404B</t>
        </is>
      </c>
      <c r="E345" s="87" t="inlineStr">
        <is>
          <t>95170/9</t>
        </is>
      </c>
      <c r="F345" s="87" t="inlineStr">
        <is>
          <t>San Marino</t>
        </is>
      </c>
      <c r="G345" s="87" t="inlineStr">
        <is>
          <t>Júridico</t>
        </is>
      </c>
      <c r="H345" s="88" t="n">
        <v>199.12</v>
      </c>
    </row>
    <row r="346">
      <c r="A346" s="87" t="inlineStr">
        <is>
          <t>Jun/26</t>
        </is>
      </c>
      <c r="B346" s="87" t="inlineStr">
        <is>
          <t>10/06/2026</t>
        </is>
      </c>
      <c r="C346" s="87" t="inlineStr">
        <is>
          <t>OPERADOR NACIONAL DO SISTEMA DE REGISTRO ELETRONICO DE IMOVEIS ( ONR )</t>
        </is>
      </c>
      <c r="D346" s="87" t="inlineStr">
        <is>
          <t>BOL.1</t>
        </is>
      </c>
      <c r="E346" s="87" t="inlineStr">
        <is>
          <t>109937/1</t>
        </is>
      </c>
      <c r="F346" s="87" t="inlineStr">
        <is>
          <t>Faria Lima 1</t>
        </is>
      </c>
      <c r="G346" s="87" t="inlineStr">
        <is>
          <t>Júridico</t>
        </is>
      </c>
      <c r="H346" s="88" t="n">
        <v>100</v>
      </c>
    </row>
    <row r="347">
      <c r="A347" s="87" t="inlineStr">
        <is>
          <t>Jun/26</t>
        </is>
      </c>
      <c r="B347" s="87" t="inlineStr">
        <is>
          <t>26/06/2026</t>
        </is>
      </c>
      <c r="C347" s="87" t="inlineStr">
        <is>
          <t>OPERADOR NACIONAL DO SISTEMA DE REGISTRO ELETRONICO DE IMOVEIS ( ONR )</t>
        </is>
      </c>
      <c r="D347" s="87" t="inlineStr">
        <is>
          <t>AV.Cred Regis 26.06</t>
        </is>
      </c>
      <c r="E347" s="87" t="inlineStr">
        <is>
          <t>111455/1</t>
        </is>
      </c>
      <c r="F347" s="87" t="inlineStr">
        <is>
          <t>Faria Lima 1</t>
        </is>
      </c>
      <c r="G347" s="87" t="inlineStr">
        <is>
          <t>Júridico</t>
        </is>
      </c>
      <c r="H347" s="88" t="n">
        <v>18.65</v>
      </c>
    </row>
    <row r="348">
      <c r="A348" s="87" t="inlineStr">
        <is>
          <t>Jun/26</t>
        </is>
      </c>
      <c r="B348" s="87" t="inlineStr">
        <is>
          <t>02/06/2026</t>
        </is>
      </c>
      <c r="C348" s="87" t="inlineStr">
        <is>
          <t>OPERADOR NACIONAL DO SISTEMA DE REGISTRO ELETRONICO DE IMOVEIS ( ONR )</t>
        </is>
      </c>
      <c r="D348" s="87" t="inlineStr">
        <is>
          <t>AV.CancProt_Steck</t>
        </is>
      </c>
      <c r="E348" s="87" t="inlineStr">
        <is>
          <t>112639/1</t>
        </is>
      </c>
      <c r="F348" s="87" t="inlineStr">
        <is>
          <t>San Marino</t>
        </is>
      </c>
      <c r="G348" s="87" t="inlineStr">
        <is>
          <t>Júridico</t>
        </is>
      </c>
      <c r="H348" s="88" t="n">
        <v>1889.45</v>
      </c>
    </row>
    <row r="349">
      <c r="A349" s="87" t="inlineStr">
        <is>
          <t>Jun/26</t>
        </is>
      </c>
      <c r="B349" s="87" t="inlineStr">
        <is>
          <t>15/06/2026</t>
        </is>
      </c>
      <c r="C349" s="87" t="inlineStr">
        <is>
          <t>OPERADOR NACIONAL DO SISTEMA DE REGISTRO ELETRONICO DE IMOVEIS ( ONR )</t>
        </is>
      </c>
      <c r="D349" s="87" t="inlineStr">
        <is>
          <t>AV.Certidão_Prot 15.06</t>
        </is>
      </c>
      <c r="E349" s="87" t="inlineStr">
        <is>
          <t>113046/1</t>
        </is>
      </c>
      <c r="F349" s="87" t="inlineStr">
        <is>
          <t>San Marino</t>
        </is>
      </c>
      <c r="G349" s="87" t="inlineStr">
        <is>
          <t>Júridico</t>
        </is>
      </c>
      <c r="H349" s="88" t="n">
        <v>326.76</v>
      </c>
    </row>
    <row r="350">
      <c r="A350" s="87" t="inlineStr">
        <is>
          <t>Jun/26</t>
        </is>
      </c>
      <c r="B350" s="87" t="inlineStr">
        <is>
          <t>22/06/2026</t>
        </is>
      </c>
      <c r="C350" s="87" t="inlineStr">
        <is>
          <t>OPERADOR NACIONAL DO SISTEMA DE REGISTRO ELETRONICO DE IMOVEIS ( ONR )</t>
        </is>
      </c>
      <c r="D350" s="87" t="inlineStr">
        <is>
          <t>AV.CancelProt_Tambasa</t>
        </is>
      </c>
      <c r="E350" s="87" t="inlineStr">
        <is>
          <t>112608/1</t>
        </is>
      </c>
      <c r="F350" s="87" t="inlineStr">
        <is>
          <t>San Marino</t>
        </is>
      </c>
      <c r="G350" s="87" t="inlineStr">
        <is>
          <t>Júridico</t>
        </is>
      </c>
      <c r="H350" s="88" t="n">
        <v>289.17</v>
      </c>
    </row>
    <row r="351">
      <c r="A351" s="87" t="inlineStr">
        <is>
          <t>Jun/26</t>
        </is>
      </c>
      <c r="B351" s="87" t="inlineStr">
        <is>
          <t>25/06/2026</t>
        </is>
      </c>
      <c r="C351" s="87" t="inlineStr">
        <is>
          <t>OPERADOR NACIONAL DO SISTEMA DE REGISTRO ELETRONICO DE IMOVEIS ( ONR )</t>
        </is>
      </c>
      <c r="D351" s="87" t="inlineStr">
        <is>
          <t>AV.CanceProt_Aeroflex</t>
        </is>
      </c>
      <c r="E351" s="87" t="inlineStr">
        <is>
          <t>112630/1</t>
        </is>
      </c>
      <c r="F351" s="87" t="inlineStr">
        <is>
          <t>San Marino</t>
        </is>
      </c>
      <c r="G351" s="87" t="inlineStr">
        <is>
          <t>Júridico</t>
        </is>
      </c>
      <c r="H351" s="88" t="n">
        <v>1618.21</v>
      </c>
    </row>
    <row r="352">
      <c r="A352" s="87" t="inlineStr">
        <is>
          <t>Jun/26</t>
        </is>
      </c>
      <c r="B352" s="87" t="inlineStr">
        <is>
          <t>04/06/2026</t>
        </is>
      </c>
      <c r="C352" s="87" t="inlineStr">
        <is>
          <t>OPERADOR NACIONAL DO SISTEMA DE REGISTRO ELETRONICO DE IMOVEIS ( ONR )</t>
        </is>
      </c>
      <c r="D352" s="87" t="inlineStr">
        <is>
          <t>AV.Regis.25.05</t>
        </is>
      </c>
      <c r="E352" s="87" t="inlineStr">
        <is>
          <t>108499/1</t>
        </is>
      </c>
      <c r="F352" s="87" t="inlineStr">
        <is>
          <t>Tetus</t>
        </is>
      </c>
      <c r="G352" s="87" t="inlineStr">
        <is>
          <t>Júridico</t>
        </is>
      </c>
      <c r="H352" s="88" t="n">
        <v>1000.45</v>
      </c>
    </row>
    <row r="353">
      <c r="A353" s="87" t="inlineStr">
        <is>
          <t>Jun/26</t>
        </is>
      </c>
      <c r="B353" s="87" t="inlineStr">
        <is>
          <t>23/06/2026</t>
        </is>
      </c>
      <c r="C353" s="87" t="inlineStr">
        <is>
          <t>OPERADOR NACIONAL DO SISTEMA DE REGISTRO ELETRONICO DE IMOVEIS ( ONR )</t>
        </is>
      </c>
      <c r="D353" s="87" t="inlineStr">
        <is>
          <t>AV.Certidão_Tetus Prot</t>
        </is>
      </c>
      <c r="E353" s="87" t="inlineStr">
        <is>
          <t>114300/1</t>
        </is>
      </c>
      <c r="F353" s="87" t="inlineStr">
        <is>
          <t>Tetus</t>
        </is>
      </c>
      <c r="G353" s="87" t="inlineStr">
        <is>
          <t>Júridico</t>
        </is>
      </c>
      <c r="H353" s="88" t="n">
        <v>19.66</v>
      </c>
    </row>
    <row r="354">
      <c r="A354" s="87" t="inlineStr">
        <is>
          <t>Jun/26</t>
        </is>
      </c>
      <c r="B354" s="87" t="inlineStr">
        <is>
          <t>18/06/2026</t>
        </is>
      </c>
      <c r="C354" s="87" t="inlineStr">
        <is>
          <t>PAULO ROBERTO DE SOUZA 03565732652</t>
        </is>
      </c>
      <c r="D354" s="87" t="inlineStr">
        <is>
          <t>NFS.267</t>
        </is>
      </c>
      <c r="E354" s="87" t="inlineStr">
        <is>
          <t>110079/1</t>
        </is>
      </c>
      <c r="F354" s="87" t="inlineStr">
        <is>
          <t>Alencar Mazzeo</t>
        </is>
      </c>
      <c r="G354" s="87" t="inlineStr">
        <is>
          <t>Júridico</t>
        </is>
      </c>
      <c r="H354" s="88" t="n">
        <v>490</v>
      </c>
    </row>
    <row r="355">
      <c r="A355" s="87" t="inlineStr">
        <is>
          <t>Jun/26</t>
        </is>
      </c>
      <c r="B355" s="87" t="inlineStr">
        <is>
          <t>18/06/2026</t>
        </is>
      </c>
      <c r="C355" s="87" t="inlineStr">
        <is>
          <t>PAULO ROBERTO DE SOUZA 03565732652</t>
        </is>
      </c>
      <c r="D355" s="87" t="inlineStr">
        <is>
          <t>NFS.271</t>
        </is>
      </c>
      <c r="E355" s="87" t="inlineStr">
        <is>
          <t>110089/1</t>
        </is>
      </c>
      <c r="F355" s="87" t="inlineStr">
        <is>
          <t>Faria Lima 1</t>
        </is>
      </c>
      <c r="G355" s="87" t="inlineStr">
        <is>
          <t>Júridico</t>
        </is>
      </c>
      <c r="H355" s="88" t="n">
        <v>150</v>
      </c>
    </row>
    <row r="356">
      <c r="A356" s="87" t="inlineStr">
        <is>
          <t>Jun/26</t>
        </is>
      </c>
      <c r="B356" s="87" t="inlineStr">
        <is>
          <t>18/06/2026</t>
        </is>
      </c>
      <c r="C356" s="87" t="inlineStr">
        <is>
          <t>PAULO ROBERTO DE SOUZA 03565732652</t>
        </is>
      </c>
      <c r="D356" s="87" t="inlineStr">
        <is>
          <t>NFS.269</t>
        </is>
      </c>
      <c r="E356" s="87" t="inlineStr">
        <is>
          <t>110082/1</t>
        </is>
      </c>
      <c r="F356" s="87" t="inlineStr">
        <is>
          <t>San Marino</t>
        </is>
      </c>
      <c r="G356" s="87" t="inlineStr">
        <is>
          <t>Júridico</t>
        </is>
      </c>
      <c r="H356" s="88" t="n">
        <v>90</v>
      </c>
    </row>
    <row r="357">
      <c r="A357" s="87" t="inlineStr">
        <is>
          <t>Jun/26</t>
        </is>
      </c>
      <c r="B357" s="87" t="inlineStr">
        <is>
          <t>08/06/2026</t>
        </is>
      </c>
      <c r="C357" s="87" t="inlineStr">
        <is>
          <t>SABHA INTELIGENCIA EM TECNOLOGIA LTDA</t>
        </is>
      </c>
      <c r="D357" s="87" t="inlineStr">
        <is>
          <t>NFS.5832</t>
        </is>
      </c>
      <c r="E357" s="87" t="inlineStr">
        <is>
          <t>109227/1</t>
        </is>
      </c>
      <c r="F357" s="87" t="inlineStr">
        <is>
          <t>Tetus</t>
        </is>
      </c>
      <c r="G357" s="87" t="inlineStr">
        <is>
          <t>T.I</t>
        </is>
      </c>
      <c r="H357" s="88" t="n">
        <v>740.38</v>
      </c>
    </row>
    <row r="358">
      <c r="A358" s="87" t="inlineStr">
        <is>
          <t>Jun/26</t>
        </is>
      </c>
      <c r="B358" s="87" t="inlineStr">
        <is>
          <t>01/06/2026</t>
        </is>
      </c>
      <c r="C358" s="87" t="inlineStr">
        <is>
          <t>SAO PAULO TRIBUNAL DE JUSTICA</t>
        </is>
      </c>
      <c r="D358" s="87" t="inlineStr">
        <is>
          <t>PROC.EXEC. 1302 B MORATTA</t>
        </is>
      </c>
      <c r="E358" s="87" t="inlineStr">
        <is>
          <t>108295/1</t>
        </is>
      </c>
      <c r="F358" s="87" t="inlineStr">
        <is>
          <t>Alencar Mazzeo</t>
        </is>
      </c>
      <c r="G358" s="87" t="inlineStr">
        <is>
          <t>Júridico</t>
        </is>
      </c>
      <c r="H358" s="88" t="n">
        <v>1921.72</v>
      </c>
    </row>
    <row r="359">
      <c r="A359" s="87" t="inlineStr">
        <is>
          <t>Jun/26</t>
        </is>
      </c>
      <c r="B359" s="87" t="inlineStr">
        <is>
          <t>11/06/2026</t>
        </is>
      </c>
      <c r="C359" s="87" t="inlineStr">
        <is>
          <t>SAO PAULO TRIBUNAL DE JUSTICA</t>
        </is>
      </c>
      <c r="D359" s="87" t="inlineStr">
        <is>
          <t>PROC.EXEC. 1403 C MORATTA</t>
        </is>
      </c>
      <c r="E359" s="87" t="inlineStr">
        <is>
          <t>109237/1</t>
        </is>
      </c>
      <c r="F359" s="87" t="inlineStr">
        <is>
          <t>Alencar Mazzeo</t>
        </is>
      </c>
      <c r="G359" s="87" t="inlineStr">
        <is>
          <t>Júridico</t>
        </is>
      </c>
      <c r="H359" s="88" t="n">
        <v>1457.17</v>
      </c>
    </row>
    <row r="360">
      <c r="A360" s="87" t="inlineStr">
        <is>
          <t>Jun/26</t>
        </is>
      </c>
      <c r="B360" s="87" t="inlineStr">
        <is>
          <t>12/06/2026</t>
        </is>
      </c>
      <c r="C360" s="87" t="inlineStr">
        <is>
          <t>SAO PAULO TRIBUNAL DE JUSTICA</t>
        </is>
      </c>
      <c r="D360" s="87" t="inlineStr">
        <is>
          <t>PROC.EXEC 901 A MORATTA</t>
        </is>
      </c>
      <c r="E360" s="87" t="inlineStr">
        <is>
          <t>109319/1</t>
        </is>
      </c>
      <c r="F360" s="87" t="inlineStr">
        <is>
          <t>Alencar Mazzeo</t>
        </is>
      </c>
      <c r="G360" s="87" t="inlineStr">
        <is>
          <t>Júridico</t>
        </is>
      </c>
      <c r="H360" s="88" t="n">
        <v>1110.41</v>
      </c>
    </row>
    <row r="361">
      <c r="A361" s="87" t="inlineStr">
        <is>
          <t>Jun/26</t>
        </is>
      </c>
      <c r="B361" s="87" t="inlineStr">
        <is>
          <t>17/06/2026</t>
        </is>
      </c>
      <c r="C361" s="87" t="inlineStr">
        <is>
          <t>SAO PAULO TRIBUNAL DE JUSTICA</t>
        </is>
      </c>
      <c r="D361" s="87" t="inlineStr">
        <is>
          <t>AV.102C_M</t>
        </is>
      </c>
      <c r="E361" s="87" t="inlineStr">
        <is>
          <t>109355/1</t>
        </is>
      </c>
      <c r="F361" s="87" t="inlineStr">
        <is>
          <t>Alencar Mazzeo</t>
        </is>
      </c>
      <c r="G361" s="87" t="inlineStr">
        <is>
          <t>Júridico</t>
        </is>
      </c>
      <c r="H361" s="88" t="n">
        <v>227.85</v>
      </c>
    </row>
    <row r="362">
      <c r="A362" s="87" t="inlineStr">
        <is>
          <t>Jun/26</t>
        </is>
      </c>
      <c r="B362" s="87" t="inlineStr">
        <is>
          <t>17/06/2026</t>
        </is>
      </c>
      <c r="C362" s="87" t="inlineStr">
        <is>
          <t>SAO PAULO TRIBUNAL DE JUSTICA</t>
        </is>
      </c>
      <c r="D362" s="87" t="inlineStr">
        <is>
          <t>AV.102_C</t>
        </is>
      </c>
      <c r="E362" s="87" t="inlineStr">
        <is>
          <t>109356/1</t>
        </is>
      </c>
      <c r="F362" s="87" t="inlineStr">
        <is>
          <t>Alencar Mazzeo</t>
        </is>
      </c>
      <c r="G362" s="87" t="inlineStr">
        <is>
          <t>Júridico</t>
        </is>
      </c>
      <c r="H362" s="88" t="n">
        <v>744.76</v>
      </c>
    </row>
    <row r="363">
      <c r="A363" s="87" t="inlineStr">
        <is>
          <t>Jun/26</t>
        </is>
      </c>
      <c r="B363" s="87" t="inlineStr">
        <is>
          <t>25/06/2026</t>
        </is>
      </c>
      <c r="C363" s="87" t="inlineStr">
        <is>
          <t>SAO PAULO TRIBUNAL DE JUSTICA</t>
        </is>
      </c>
      <c r="D363" s="87" t="inlineStr">
        <is>
          <t>PROC.EXEC 806 C MORATTA</t>
        </is>
      </c>
      <c r="E363" s="87" t="inlineStr">
        <is>
          <t>110091/1</t>
        </is>
      </c>
      <c r="F363" s="87" t="inlineStr">
        <is>
          <t>Alencar Mazzeo</t>
        </is>
      </c>
      <c r="G363" s="87" t="inlineStr">
        <is>
          <t>Júridico</t>
        </is>
      </c>
      <c r="H363" s="88" t="n">
        <v>1945.54</v>
      </c>
    </row>
    <row r="364">
      <c r="A364" s="87" t="inlineStr">
        <is>
          <t>Jun/26</t>
        </is>
      </c>
      <c r="B364" s="87" t="inlineStr">
        <is>
          <t>25/06/2026</t>
        </is>
      </c>
      <c r="C364" s="87" t="inlineStr">
        <is>
          <t>SAO PAULO TRIBUNAL DE JUSTICA</t>
        </is>
      </c>
      <c r="D364" s="87" t="inlineStr">
        <is>
          <t>PROC.EXEC 406 B MORATTA</t>
        </is>
      </c>
      <c r="E364" s="87" t="inlineStr">
        <is>
          <t>110358/1</t>
        </is>
      </c>
      <c r="F364" s="87" t="inlineStr">
        <is>
          <t>Alencar Mazzeo</t>
        </is>
      </c>
      <c r="G364" s="87" t="inlineStr">
        <is>
          <t>Júridico</t>
        </is>
      </c>
      <c r="H364" s="88" t="n">
        <v>934.9</v>
      </c>
    </row>
    <row r="365">
      <c r="A365" s="87" t="inlineStr">
        <is>
          <t>Jun/26</t>
        </is>
      </c>
      <c r="B365" s="87" t="inlineStr">
        <is>
          <t>15/06/2026</t>
        </is>
      </c>
      <c r="C365" s="87" t="inlineStr">
        <is>
          <t>SAO PAULO TRIBUNAL DE JUSTICA</t>
        </is>
      </c>
      <c r="D365" s="87" t="inlineStr">
        <is>
          <t>AV.1009A_PE_</t>
        </is>
      </c>
      <c r="E365" s="87" t="inlineStr">
        <is>
          <t>109050/1</t>
        </is>
      </c>
      <c r="F365" s="87" t="inlineStr">
        <is>
          <t>Padre Eugênio</t>
        </is>
      </c>
      <c r="G365" s="87" t="inlineStr">
        <is>
          <t>Júridico</t>
        </is>
      </c>
      <c r="H365" s="88" t="n">
        <v>115.26</v>
      </c>
    </row>
    <row r="366">
      <c r="A366" s="87" t="inlineStr">
        <is>
          <t>Jun/26</t>
        </is>
      </c>
      <c r="B366" s="87" t="inlineStr">
        <is>
          <t>01/06/2026</t>
        </is>
      </c>
      <c r="C366" s="87" t="inlineStr">
        <is>
          <t>SAO PAULO TRIBUNAL DE JUSTICA</t>
        </is>
      </c>
      <c r="D366" s="87" t="inlineStr">
        <is>
          <t>PROC.EXEC 703 C VERANO</t>
        </is>
      </c>
      <c r="E366" s="87" t="inlineStr">
        <is>
          <t>108403/1</t>
        </is>
      </c>
      <c r="F366" s="87" t="inlineStr">
        <is>
          <t>San Marino</t>
        </is>
      </c>
      <c r="G366" s="87" t="inlineStr">
        <is>
          <t>Júridico</t>
        </is>
      </c>
      <c r="H366" s="88" t="n">
        <v>1215.2</v>
      </c>
    </row>
    <row r="367">
      <c r="A367" s="87" t="inlineStr">
        <is>
          <t>Jun/26</t>
        </is>
      </c>
      <c r="B367" s="87" t="inlineStr">
        <is>
          <t>15/06/2026</t>
        </is>
      </c>
      <c r="C367" s="87" t="inlineStr">
        <is>
          <t>SAO PAULO TRIBUNAL DE JUSTICA</t>
        </is>
      </c>
      <c r="D367" s="87" t="inlineStr">
        <is>
          <t>PROC.EXEC. 301 C VERANO</t>
        </is>
      </c>
      <c r="E367" s="87" t="inlineStr">
        <is>
          <t>109287/1</t>
        </is>
      </c>
      <c r="F367" s="87" t="inlineStr">
        <is>
          <t>San Marino</t>
        </is>
      </c>
      <c r="G367" s="87" t="inlineStr">
        <is>
          <t>Júridico</t>
        </is>
      </c>
      <c r="H367" s="88" t="n">
        <v>1050.6</v>
      </c>
    </row>
    <row r="368">
      <c r="A368" s="87" t="inlineStr">
        <is>
          <t>Jun/26</t>
        </is>
      </c>
      <c r="B368" s="87" t="inlineStr">
        <is>
          <t>22/06/2026</t>
        </is>
      </c>
      <c r="C368" s="87" t="inlineStr">
        <is>
          <t>SAO PAULO TRIBUNAL DE JUSTICA</t>
        </is>
      </c>
      <c r="D368" s="87" t="inlineStr">
        <is>
          <t>PROC.EXEC 806 C VERANO</t>
        </is>
      </c>
      <c r="E368" s="87" t="inlineStr">
        <is>
          <t>109908/1</t>
        </is>
      </c>
      <c r="F368" s="87" t="inlineStr">
        <is>
          <t>San Marino</t>
        </is>
      </c>
      <c r="G368" s="87" t="inlineStr">
        <is>
          <t>Júridico</t>
        </is>
      </c>
      <c r="H368" s="88" t="n">
        <v>2283.65</v>
      </c>
    </row>
    <row r="369">
      <c r="A369" s="87" t="inlineStr">
        <is>
          <t>Jun/26</t>
        </is>
      </c>
      <c r="B369" s="87" t="inlineStr">
        <is>
          <t>22/06/2026</t>
        </is>
      </c>
      <c r="C369" s="87" t="inlineStr">
        <is>
          <t>SAO PAULO TRIBUNAL DE JUSTICA</t>
        </is>
      </c>
      <c r="D369" s="87" t="inlineStr">
        <is>
          <t>PROC.EXEC 1402 B VERANO</t>
        </is>
      </c>
      <c r="E369" s="87" t="inlineStr">
        <is>
          <t>110175/1</t>
        </is>
      </c>
      <c r="F369" s="87" t="inlineStr">
        <is>
          <t>San Marino</t>
        </is>
      </c>
      <c r="G369" s="87" t="inlineStr">
        <is>
          <t>Júridico</t>
        </is>
      </c>
      <c r="H369" s="88" t="n">
        <v>1020.99</v>
      </c>
    </row>
    <row r="370">
      <c r="A370" s="87" t="inlineStr">
        <is>
          <t>Jun/26</t>
        </is>
      </c>
      <c r="B370" s="87" t="inlineStr">
        <is>
          <t>08/06/2026</t>
        </is>
      </c>
      <c r="C370" s="87" t="inlineStr">
        <is>
          <t>SAO PAULO TRIBUNAL DE JUSTICA</t>
        </is>
      </c>
      <c r="D370" s="87" t="inlineStr">
        <is>
          <t>PROC.VERANO_103A</t>
        </is>
      </c>
      <c r="E370" s="87" t="inlineStr">
        <is>
          <t>108729/1</t>
        </is>
      </c>
      <c r="F370" s="87" t="inlineStr">
        <is>
          <t>San Marino</t>
        </is>
      </c>
      <c r="G370" s="87" t="inlineStr">
        <is>
          <t>Júridico</t>
        </is>
      </c>
      <c r="H370" s="88" t="n">
        <v>192.1</v>
      </c>
    </row>
    <row r="371">
      <c r="A371" s="87" t="inlineStr">
        <is>
          <t>Jun/26</t>
        </is>
      </c>
      <c r="B371" s="87" t="inlineStr">
        <is>
          <t>08/06/2026</t>
        </is>
      </c>
      <c r="C371" s="87" t="inlineStr">
        <is>
          <t>SAO PAULO TRIBUNAL DE JUSTICA</t>
        </is>
      </c>
      <c r="D371" s="87" t="inlineStr">
        <is>
          <t>PROC.301A_V_</t>
        </is>
      </c>
      <c r="E371" s="87" t="inlineStr">
        <is>
          <t>108732/1</t>
        </is>
      </c>
      <c r="F371" s="87" t="inlineStr">
        <is>
          <t>San Marino</t>
        </is>
      </c>
      <c r="G371" s="87" t="inlineStr">
        <is>
          <t>Júridico</t>
        </is>
      </c>
      <c r="H371" s="88" t="n">
        <v>384.84</v>
      </c>
    </row>
    <row r="372">
      <c r="A372" s="87" t="inlineStr">
        <is>
          <t>Jun/26</t>
        </is>
      </c>
      <c r="B372" s="87" t="inlineStr">
        <is>
          <t>10/06/2026</t>
        </is>
      </c>
      <c r="C372" s="87" t="inlineStr">
        <is>
          <t>SAO PAULO TRIBUNAL DE JUSTICA</t>
        </is>
      </c>
      <c r="D372" s="87" t="inlineStr">
        <is>
          <t>PROC.501A_V_</t>
        </is>
      </c>
      <c r="E372" s="87" t="inlineStr">
        <is>
          <t>108868/1</t>
        </is>
      </c>
      <c r="F372" s="87" t="inlineStr">
        <is>
          <t>San Marino</t>
        </is>
      </c>
      <c r="G372" s="87" t="inlineStr">
        <is>
          <t>Júridico</t>
        </is>
      </c>
      <c r="H372" s="88" t="n">
        <v>68.7</v>
      </c>
    </row>
    <row r="373">
      <c r="A373" s="87" t="inlineStr">
        <is>
          <t>Jun/26</t>
        </is>
      </c>
      <c r="B373" s="87" t="inlineStr">
        <is>
          <t>17/06/2026</t>
        </is>
      </c>
      <c r="C373" s="87" t="inlineStr">
        <is>
          <t>SAO PAULO TRIBUNAL DE JUSTICA</t>
        </is>
      </c>
      <c r="D373" s="87" t="inlineStr">
        <is>
          <t>AV.304B_V</t>
        </is>
      </c>
      <c r="E373" s="87" t="inlineStr">
        <is>
          <t>109357/1</t>
        </is>
      </c>
      <c r="F373" s="87" t="inlineStr">
        <is>
          <t>San Marino</t>
        </is>
      </c>
      <c r="G373" s="87" t="inlineStr">
        <is>
          <t>Júridico</t>
        </is>
      </c>
      <c r="H373" s="88" t="n">
        <v>227.85</v>
      </c>
    </row>
    <row r="374">
      <c r="A374" s="87" t="inlineStr">
        <is>
          <t>Jun/26</t>
        </is>
      </c>
      <c r="B374" s="87" t="inlineStr">
        <is>
          <t>17/06/2026</t>
        </is>
      </c>
      <c r="C374" s="87" t="inlineStr">
        <is>
          <t>SAO PAULO TRIBUNAL DE JUSTICA</t>
        </is>
      </c>
      <c r="D374" s="87" t="inlineStr">
        <is>
          <t>AV.304B_V_</t>
        </is>
      </c>
      <c r="E374" s="87" t="inlineStr">
        <is>
          <t>109358/1</t>
        </is>
      </c>
      <c r="F374" s="87" t="inlineStr">
        <is>
          <t>San Marino</t>
        </is>
      </c>
      <c r="G374" s="87" t="inlineStr">
        <is>
          <t>Júridico</t>
        </is>
      </c>
      <c r="H374" s="88" t="n">
        <v>227.85</v>
      </c>
    </row>
    <row r="375">
      <c r="A375" s="87" t="inlineStr">
        <is>
          <t>Jun/26</t>
        </is>
      </c>
      <c r="B375" s="87" t="inlineStr">
        <is>
          <t>17/06/2026</t>
        </is>
      </c>
      <c r="C375" s="87" t="inlineStr">
        <is>
          <t>SAO PAULO TRIBUNAL DE JUSTICA</t>
        </is>
      </c>
      <c r="D375" s="87" t="inlineStr">
        <is>
          <t>AV.V_802B_</t>
        </is>
      </c>
      <c r="E375" s="87" t="inlineStr">
        <is>
          <t>109484/1</t>
        </is>
      </c>
      <c r="F375" s="87" t="inlineStr">
        <is>
          <t>San Marino</t>
        </is>
      </c>
      <c r="G375" s="87" t="inlineStr">
        <is>
          <t>Júridico</t>
        </is>
      </c>
      <c r="H375" s="88" t="n">
        <v>38.42</v>
      </c>
    </row>
    <row r="376">
      <c r="A376" s="87" t="inlineStr">
        <is>
          <t>Jun/26</t>
        </is>
      </c>
      <c r="B376" s="87" t="inlineStr">
        <is>
          <t>02/06/2026</t>
        </is>
      </c>
      <c r="C376" s="87" t="inlineStr">
        <is>
          <t>SAO PAULO TRIBUNAL DE JUSTICA</t>
        </is>
      </c>
      <c r="D376" s="87" t="inlineStr">
        <is>
          <t>PROC.09C_V</t>
        </is>
      </c>
      <c r="E376" s="87" t="inlineStr">
        <is>
          <t>108731/1</t>
        </is>
      </c>
      <c r="F376" s="87" t="inlineStr">
        <is>
          <t>San Marino</t>
        </is>
      </c>
      <c r="G376" s="87" t="inlineStr">
        <is>
          <t>Júridico</t>
        </is>
      </c>
      <c r="H376" s="88" t="n">
        <v>115.97</v>
      </c>
    </row>
    <row r="377">
      <c r="A377" s="87" t="inlineStr">
        <is>
          <t>Jun/26</t>
        </is>
      </c>
      <c r="B377" s="87" t="inlineStr">
        <is>
          <t>16/06/2026</t>
        </is>
      </c>
      <c r="C377" s="87" t="inlineStr">
        <is>
          <t>SAO PAULO TRIBUNAL DE JUSTICA</t>
        </is>
      </c>
      <c r="D377" s="87" t="inlineStr">
        <is>
          <t>AV.V_2C_</t>
        </is>
      </c>
      <c r="E377" s="87" t="inlineStr">
        <is>
          <t>109048/1</t>
        </is>
      </c>
      <c r="F377" s="87" t="inlineStr">
        <is>
          <t>San Marino</t>
        </is>
      </c>
      <c r="G377" s="87" t="inlineStr">
        <is>
          <t>Júridico</t>
        </is>
      </c>
      <c r="H377" s="88" t="n">
        <v>384.2</v>
      </c>
    </row>
    <row r="378">
      <c r="A378" s="87" t="inlineStr">
        <is>
          <t>Jun/26</t>
        </is>
      </c>
      <c r="B378" s="87" t="inlineStr">
        <is>
          <t>26/06/2026</t>
        </is>
      </c>
      <c r="C378" s="87" t="inlineStr">
        <is>
          <t>SAO PAULO TRIBUNAL DE JUSTICA</t>
        </is>
      </c>
      <c r="D378" s="87" t="inlineStr">
        <is>
          <t>PROC.Cit 92 Vita Oficial</t>
        </is>
      </c>
      <c r="E378" s="87" t="inlineStr">
        <is>
          <t>110514/1</t>
        </is>
      </c>
      <c r="F378" s="87" t="inlineStr">
        <is>
          <t>FGV</t>
        </is>
      </c>
      <c r="G378" s="87" t="inlineStr">
        <is>
          <t>Júridico</t>
        </is>
      </c>
      <c r="H378" s="88" t="n">
        <v>230.52</v>
      </c>
    </row>
    <row r="379">
      <c r="A379" s="87" t="inlineStr">
        <is>
          <t>Jun/26</t>
        </is>
      </c>
      <c r="B379" s="87" t="inlineStr">
        <is>
          <t>25/06/2026</t>
        </is>
      </c>
      <c r="C379" s="87" t="inlineStr">
        <is>
          <t>SERASA S.A.</t>
        </is>
      </c>
      <c r="D379" s="87" t="inlineStr">
        <is>
          <t>NFS.873691</t>
        </is>
      </c>
      <c r="E379" s="87" t="inlineStr">
        <is>
          <t>110293/1</t>
        </is>
      </c>
      <c r="F379" s="87" t="inlineStr">
        <is>
          <t>Tetus</t>
        </is>
      </c>
      <c r="G379" s="87" t="inlineStr">
        <is>
          <t>Júridico</t>
        </is>
      </c>
      <c r="H379" s="88" t="n">
        <v>11.43</v>
      </c>
    </row>
    <row r="380">
      <c r="A380" s="87" t="inlineStr">
        <is>
          <t>Jun/26</t>
        </is>
      </c>
      <c r="B380" s="87" t="inlineStr">
        <is>
          <t>22/06/2026</t>
        </is>
      </c>
      <c r="C380" s="87" t="inlineStr">
        <is>
          <t>STUDIO 360 TOUR PUBLICIDADE LTDA.</t>
        </is>
      </c>
      <c r="D380" s="87" t="inlineStr">
        <is>
          <t>NFS.19378</t>
        </is>
      </c>
      <c r="E380" s="87" t="inlineStr">
        <is>
          <t>109843/1</t>
        </is>
      </c>
      <c r="F380" s="87" t="inlineStr">
        <is>
          <t>Tetus</t>
        </is>
      </c>
      <c r="G380" s="87" t="inlineStr">
        <is>
          <t>Júridico</t>
        </is>
      </c>
      <c r="H380" s="88" t="n">
        <v>3061.99</v>
      </c>
    </row>
    <row r="381">
      <c r="A381" s="87" t="inlineStr">
        <is>
          <t>Jun/26</t>
        </is>
      </c>
      <c r="B381" s="87" t="inlineStr">
        <is>
          <t>28/06/2026</t>
        </is>
      </c>
      <c r="C381" s="87" t="inlineStr">
        <is>
          <t>STUDIO 360 TOUR PUBLICIDADE LTDA.</t>
        </is>
      </c>
      <c r="D381" s="87" t="inlineStr">
        <is>
          <t>NFS.19377</t>
        </is>
      </c>
      <c r="E381" s="87" t="inlineStr">
        <is>
          <t>109846/1</t>
        </is>
      </c>
      <c r="F381" s="87" t="inlineStr">
        <is>
          <t>Tetus</t>
        </is>
      </c>
      <c r="G381" s="87" t="inlineStr">
        <is>
          <t>Júridico</t>
        </is>
      </c>
      <c r="H381" s="88" t="n">
        <v>980</v>
      </c>
    </row>
    <row r="382">
      <c r="A382" s="87" t="inlineStr">
        <is>
          <t>Jun/26</t>
        </is>
      </c>
      <c r="B382" s="87" t="inlineStr">
        <is>
          <t>16/06/2026</t>
        </is>
      </c>
      <c r="C382" s="87" t="inlineStr">
        <is>
          <t>TAUBATE CARTORIO DE REGISTRO CIVIL E TABELIONATO DE QUIRIRIM</t>
        </is>
      </c>
      <c r="D382" s="87" t="inlineStr">
        <is>
          <t>FAT.34</t>
        </is>
      </c>
      <c r="E382" s="87" t="inlineStr">
        <is>
          <t>109756/1</t>
        </is>
      </c>
      <c r="F382" s="87" t="inlineStr">
        <is>
          <t>Tetus</t>
        </is>
      </c>
      <c r="G382" s="87" t="inlineStr">
        <is>
          <t>Júridico</t>
        </is>
      </c>
      <c r="H382" s="88" t="n">
        <v>9.18</v>
      </c>
    </row>
    <row r="383">
      <c r="A383" s="87" t="inlineStr">
        <is>
          <t>Jun/26</t>
        </is>
      </c>
      <c r="B383" s="87" t="inlineStr">
        <is>
          <t>24/06/2026</t>
        </is>
      </c>
      <c r="C383" s="87" t="inlineStr">
        <is>
          <t>TELEFONICA BRASIL S.A.</t>
        </is>
      </c>
      <c r="D383" s="87" t="inlineStr">
        <is>
          <t>FAT.Vivo 04 2026</t>
        </is>
      </c>
      <c r="E383" s="87" t="inlineStr">
        <is>
          <t>110752/1</t>
        </is>
      </c>
      <c r="F383" s="87" t="inlineStr">
        <is>
          <t>Tetus</t>
        </is>
      </c>
      <c r="G383" s="87" t="inlineStr">
        <is>
          <t>T.I</t>
        </is>
      </c>
      <c r="H383" s="88" t="n">
        <v>184.86</v>
      </c>
    </row>
    <row r="384">
      <c r="A384" s="87" t="inlineStr">
        <is>
          <t>Jun/26</t>
        </is>
      </c>
      <c r="B384" s="87" t="inlineStr">
        <is>
          <t>24/06/2026</t>
        </is>
      </c>
      <c r="C384" s="87" t="inlineStr">
        <is>
          <t>TELEFONICA BRASIL S.A.</t>
        </is>
      </c>
      <c r="D384" s="87" t="inlineStr">
        <is>
          <t>FAT.Vivo 05 2026</t>
        </is>
      </c>
      <c r="E384" s="87" t="inlineStr">
        <is>
          <t>110753/1</t>
        </is>
      </c>
      <c r="F384" s="87" t="inlineStr">
        <is>
          <t>Tetus</t>
        </is>
      </c>
      <c r="G384" s="87" t="inlineStr">
        <is>
          <t>T.I</t>
        </is>
      </c>
      <c r="H384" s="88" t="n">
        <v>184.86</v>
      </c>
    </row>
    <row r="385">
      <c r="A385" s="87" t="inlineStr">
        <is>
          <t>Jun/26</t>
        </is>
      </c>
      <c r="B385" s="87" t="inlineStr">
        <is>
          <t>25/06/2026</t>
        </is>
      </c>
      <c r="C385" s="87" t="inlineStr">
        <is>
          <t>TELEFONICA BRASIL S.A.</t>
        </is>
      </c>
      <c r="D385" s="87" t="inlineStr">
        <is>
          <t>FAT.Vivo 06 2026</t>
        </is>
      </c>
      <c r="E385" s="87" t="inlineStr">
        <is>
          <t>110754/1</t>
        </is>
      </c>
      <c r="F385" s="87" t="inlineStr">
        <is>
          <t>Tetus</t>
        </is>
      </c>
      <c r="G385" s="87" t="inlineStr">
        <is>
          <t>T.I</t>
        </is>
      </c>
      <c r="H385" s="88" t="n">
        <v>184.86</v>
      </c>
    </row>
    <row r="386">
      <c r="A386" s="87" t="inlineStr">
        <is>
          <t>Jun/26</t>
        </is>
      </c>
      <c r="B386" s="87" t="inlineStr">
        <is>
          <t>15/06/2026</t>
        </is>
      </c>
      <c r="C386" s="87" t="inlineStr">
        <is>
          <t>VC1 SOLUCOES EM TECNOLOGIA EIRELI</t>
        </is>
      </c>
      <c r="D386" s="87" t="inlineStr">
        <is>
          <t>BOL.1017717992</t>
        </is>
      </c>
      <c r="E386" s="87" t="inlineStr">
        <is>
          <t>109298/1</t>
        </is>
      </c>
      <c r="F386" s="87" t="inlineStr">
        <is>
          <t>Tetus</t>
        </is>
      </c>
      <c r="G386" s="87" t="inlineStr">
        <is>
          <t>T.I</t>
        </is>
      </c>
      <c r="H386" s="88" t="n">
        <v>137.93</v>
      </c>
    </row>
    <row r="387">
      <c r="A387" s="87" t="inlineStr">
        <is>
          <t>Jun/26</t>
        </is>
      </c>
      <c r="B387" s="87" t="inlineStr">
        <is>
          <t>03/06/2026</t>
        </is>
      </c>
      <c r="C387" s="87" t="inlineStr">
        <is>
          <t>VINICIUS DI FRANCO HEITOR</t>
        </is>
      </c>
      <c r="D387" s="87" t="inlineStr">
        <is>
          <t>CX.27.05.26</t>
        </is>
      </c>
      <c r="E387" s="87" t="inlineStr">
        <is>
          <t>108827/1</t>
        </is>
      </c>
      <c r="F387" s="87" t="inlineStr">
        <is>
          <t>Tetus</t>
        </is>
      </c>
      <c r="G387" s="87" t="inlineStr">
        <is>
          <t>T.I</t>
        </is>
      </c>
      <c r="H387" s="88" t="n">
        <v>184</v>
      </c>
    </row>
    <row r="388">
      <c r="A388" s="87" t="inlineStr">
        <is>
          <t>Jun/26</t>
        </is>
      </c>
      <c r="B388" s="87" t="inlineStr">
        <is>
          <t>03/06/2026</t>
        </is>
      </c>
      <c r="C388" s="87" t="inlineStr">
        <is>
          <t>VINICIUS DI FRANCO HEITOR</t>
        </is>
      </c>
      <c r="D388" s="87" t="inlineStr">
        <is>
          <t>SAL.1_ Ferias 1 VIn D 26</t>
        </is>
      </c>
      <c r="E388" s="87" t="inlineStr">
        <is>
          <t>107780/1</t>
        </is>
      </c>
      <c r="F388" s="87" t="inlineStr">
        <is>
          <t>Tetus</t>
        </is>
      </c>
      <c r="G388" s="87" t="inlineStr">
        <is>
          <t>T.I</t>
        </is>
      </c>
      <c r="H388" s="88" t="n">
        <v>1101.12</v>
      </c>
    </row>
    <row r="389">
      <c r="A389" s="87" t="inlineStr">
        <is>
          <t>Jun/26</t>
        </is>
      </c>
      <c r="B389" s="87" t="inlineStr">
        <is>
          <t>05/06/2026</t>
        </is>
      </c>
      <c r="C389" s="87" t="inlineStr">
        <is>
          <t>VINICIUS DI FRANCO HEITOR</t>
        </is>
      </c>
      <c r="D389" s="87" t="inlineStr">
        <is>
          <t>SAL.sal 052026</t>
        </is>
      </c>
      <c r="E389" s="87" t="inlineStr">
        <is>
          <t>109482/1</t>
        </is>
      </c>
      <c r="F389" s="87" t="inlineStr">
        <is>
          <t>Tetus</t>
        </is>
      </c>
      <c r="G389" s="87" t="inlineStr">
        <is>
          <t>T.I</t>
        </is>
      </c>
      <c r="H389" s="88" t="n">
        <v>1455</v>
      </c>
    </row>
    <row r="390">
      <c r="A390" s="87" t="inlineStr">
        <is>
          <t>Jun/26</t>
        </is>
      </c>
      <c r="B390" s="87" t="inlineStr">
        <is>
          <t>19/06/2026</t>
        </is>
      </c>
      <c r="C390" s="87" t="inlineStr">
        <is>
          <t>VINICIUS DI FRANCO HEITOR</t>
        </is>
      </c>
      <c r="D390" s="87" t="inlineStr">
        <is>
          <t>SAL.SALARIO06VINI</t>
        </is>
      </c>
      <c r="E390" s="87" t="inlineStr">
        <is>
          <t>110700/1</t>
        </is>
      </c>
      <c r="F390" s="87" t="inlineStr">
        <is>
          <t>Tetus</t>
        </is>
      </c>
      <c r="G390" s="87" t="inlineStr">
        <is>
          <t>T.I</t>
        </is>
      </c>
      <c r="H390" s="88" t="n">
        <v>686</v>
      </c>
    </row>
    <row r="391">
      <c r="A391" s="87" t="inlineStr">
        <is>
          <t>Jun/26</t>
        </is>
      </c>
      <c r="B391" s="87" t="inlineStr">
        <is>
          <t>2026-06-20 00:00:00</t>
        </is>
      </c>
      <c r="C391" s="87" t="inlineStr">
        <is>
          <t>VINICIUS DI FRANCO HEITOR</t>
        </is>
      </c>
      <c r="D391" s="87" t="inlineStr">
        <is>
          <t>FGTS/INSS</t>
        </is>
      </c>
      <c r="E391" s="87" t="inlineStr">
        <is>
          <t>113754/6</t>
        </is>
      </c>
      <c r="F391" s="87" t="inlineStr">
        <is>
          <t>Tetus</t>
        </is>
      </c>
      <c r="G391" s="87" t="inlineStr">
        <is>
          <t>T.I</t>
        </is>
      </c>
      <c r="H391" s="88" t="n">
        <v>207.04</v>
      </c>
    </row>
    <row r="392">
      <c r="A392" s="87" t="inlineStr">
        <is>
          <t>Jun/26</t>
        </is>
      </c>
      <c r="B392" s="87" t="inlineStr">
        <is>
          <t>2026-06-01 00:00:00</t>
        </is>
      </c>
      <c r="C392" s="87" t="inlineStr">
        <is>
          <t>Vale Alimentação Vinicius</t>
        </is>
      </c>
      <c r="D392" s="87" t="inlineStr"/>
      <c r="E392" s="87" t="inlineStr"/>
      <c r="F392" s="87" t="inlineStr">
        <is>
          <t>Tetus</t>
        </is>
      </c>
      <c r="G392" s="87" t="inlineStr">
        <is>
          <t>T.I</t>
        </is>
      </c>
      <c r="H392" s="88" t="n">
        <v>485</v>
      </c>
    </row>
    <row r="393">
      <c r="A393" s="87" t="inlineStr">
        <is>
          <t>Jun/26</t>
        </is>
      </c>
      <c r="B393" s="87" t="inlineStr">
        <is>
          <t>25/06/2026</t>
        </is>
      </c>
      <c r="C393" s="87" t="inlineStr">
        <is>
          <t>WEB MOBILE TELECOM LTDA</t>
        </is>
      </c>
      <c r="D393" s="87" t="inlineStr">
        <is>
          <t>NFS.33</t>
        </is>
      </c>
      <c r="E393" s="87" t="inlineStr">
        <is>
          <t>110902/1</t>
        </is>
      </c>
      <c r="F393" s="87" t="inlineStr">
        <is>
          <t>Tetus</t>
        </is>
      </c>
      <c r="G393" s="87" t="inlineStr">
        <is>
          <t>T.I</t>
        </is>
      </c>
      <c r="H393" s="88" t="n">
        <v>75</v>
      </c>
    </row>
    <row r="394">
      <c r="A394" s="87" t="inlineStr">
        <is>
          <t>Jul/26</t>
        </is>
      </c>
      <c r="B394" s="87" t="inlineStr">
        <is>
          <t>01/07/2026</t>
        </is>
      </c>
      <c r="C394" s="87" t="inlineStr">
        <is>
          <t>61.582.518 MIGUEL CLEPF PASSOS</t>
        </is>
      </c>
      <c r="D394" s="87" t="inlineStr">
        <is>
          <t>NFS.13</t>
        </is>
      </c>
      <c r="E394" s="87" t="inlineStr">
        <is>
          <t>110963/1</t>
        </is>
      </c>
      <c r="F394" s="87" t="inlineStr">
        <is>
          <t>Tetus</t>
        </is>
      </c>
      <c r="G394" s="87" t="inlineStr">
        <is>
          <t>Júridico</t>
        </is>
      </c>
      <c r="H394" s="88" t="n">
        <v>6750</v>
      </c>
    </row>
    <row r="395">
      <c r="A395" s="87" t="inlineStr">
        <is>
          <t>Jul/26</t>
        </is>
      </c>
      <c r="B395" s="87" t="inlineStr">
        <is>
          <t>10/07/2026</t>
        </is>
      </c>
      <c r="C395" s="87" t="inlineStr">
        <is>
          <t>CARNEIRO RABELO SOCIEDADE INDIVIDUAL DE ADVOCACIA</t>
        </is>
      </c>
      <c r="D395" s="87" t="inlineStr">
        <is>
          <t>NFS.1</t>
        </is>
      </c>
      <c r="E395" s="87" t="inlineStr">
        <is>
          <t>111825/1</t>
        </is>
      </c>
      <c r="F395" s="87" t="inlineStr">
        <is>
          <t>Tetus</t>
        </is>
      </c>
      <c r="G395" s="87" t="inlineStr">
        <is>
          <t>Júridico</t>
        </is>
      </c>
      <c r="H395" s="88" t="n">
        <v>17633.95</v>
      </c>
    </row>
    <row r="396">
      <c r="A396" s="87" t="inlineStr">
        <is>
          <t>Jul/26</t>
        </is>
      </c>
      <c r="B396" s="87" t="inlineStr">
        <is>
          <t>28/07/2026</t>
        </is>
      </c>
      <c r="C396" s="87" t="inlineStr">
        <is>
          <t>CLARO S.A.</t>
        </is>
      </c>
      <c r="D396" s="87" t="inlineStr">
        <is>
          <t>FAT.Claro 07.26</t>
        </is>
      </c>
      <c r="E396" s="87" t="inlineStr">
        <is>
          <t>113575/1</t>
        </is>
      </c>
      <c r="F396" s="87" t="inlineStr">
        <is>
          <t>Tetus</t>
        </is>
      </c>
      <c r="G396" s="87" t="inlineStr">
        <is>
          <t>T.I</t>
        </is>
      </c>
      <c r="H396" s="88" t="n">
        <v>20.39</v>
      </c>
    </row>
    <row r="397">
      <c r="A397" s="87" t="inlineStr">
        <is>
          <t>Jul/26</t>
        </is>
      </c>
      <c r="B397" s="87" t="inlineStr">
        <is>
          <t>28/07/2026</t>
        </is>
      </c>
      <c r="C397" s="87" t="inlineStr">
        <is>
          <t>CLARO S.A.</t>
        </is>
      </c>
      <c r="D397" s="87" t="inlineStr">
        <is>
          <t>FAT.Claro 07.26</t>
        </is>
      </c>
      <c r="E397" s="87" t="inlineStr">
        <is>
          <t>113575/2</t>
        </is>
      </c>
      <c r="F397" s="87" t="inlineStr">
        <is>
          <t>Tetus</t>
        </is>
      </c>
      <c r="G397" s="87" t="inlineStr">
        <is>
          <t>T.I</t>
        </is>
      </c>
      <c r="H397" s="88" t="n">
        <v>133.73</v>
      </c>
    </row>
    <row r="398">
      <c r="A398" s="87" t="inlineStr">
        <is>
          <t>Jul/26</t>
        </is>
      </c>
      <c r="B398" s="87" t="inlineStr">
        <is>
          <t>28/07/2026</t>
        </is>
      </c>
      <c r="C398" s="87" t="inlineStr">
        <is>
          <t>CLARO S.A.</t>
        </is>
      </c>
      <c r="D398" s="87" t="inlineStr">
        <is>
          <t>FAT.Claro 07.26</t>
        </is>
      </c>
      <c r="E398" s="87" t="inlineStr">
        <is>
          <t>113575/3</t>
        </is>
      </c>
      <c r="F398" s="87" t="inlineStr">
        <is>
          <t>Tetus</t>
        </is>
      </c>
      <c r="G398" s="87" t="inlineStr">
        <is>
          <t>T.I</t>
        </is>
      </c>
      <c r="H398" s="88" t="n">
        <v>825.28</v>
      </c>
    </row>
    <row r="399">
      <c r="A399" s="87" t="inlineStr">
        <is>
          <t>Jul/26</t>
        </is>
      </c>
      <c r="B399" s="87" t="inlineStr">
        <is>
          <t>24/07/2026</t>
        </is>
      </c>
      <c r="C399" s="87" t="inlineStr">
        <is>
          <t>CLICKSIGN GESTAO DE DOCUMENTOS S/A</t>
        </is>
      </c>
      <c r="D399" s="87" t="inlineStr">
        <is>
          <t>NFS.666851</t>
        </is>
      </c>
      <c r="E399" s="87" t="inlineStr">
        <is>
          <t>113644/1</t>
        </is>
      </c>
      <c r="F399" s="87" t="inlineStr">
        <is>
          <t>Tetus</t>
        </is>
      </c>
      <c r="G399" s="87" t="inlineStr">
        <is>
          <t>Júridico</t>
        </is>
      </c>
      <c r="H399" s="88" t="n">
        <v>421.73</v>
      </c>
    </row>
    <row r="400">
      <c r="A400" s="87" t="inlineStr">
        <is>
          <t>Jul/26</t>
        </is>
      </c>
      <c r="B400" s="87" t="inlineStr">
        <is>
          <t>10/07/2026</t>
        </is>
      </c>
      <c r="C400" s="87" t="inlineStr">
        <is>
          <t>Cristiane Carneiro Rabelo</t>
        </is>
      </c>
      <c r="D400" s="87" t="inlineStr">
        <is>
          <t>HON.HON_2026.1</t>
        </is>
      </c>
      <c r="E400" s="87" t="inlineStr">
        <is>
          <t>111832/1</t>
        </is>
      </c>
      <c r="F400" s="87" t="inlineStr">
        <is>
          <t>Tetus</t>
        </is>
      </c>
      <c r="G400" s="87" t="inlineStr">
        <is>
          <t>Júridico</t>
        </is>
      </c>
      <c r="H400" s="88" t="n">
        <v>27870.45</v>
      </c>
    </row>
    <row r="401">
      <c r="A401" s="87" t="inlineStr">
        <is>
          <t>Jul/26</t>
        </is>
      </c>
      <c r="B401" s="87" t="inlineStr">
        <is>
          <t>10/07/2026</t>
        </is>
      </c>
      <c r="C401" s="87" t="inlineStr">
        <is>
          <t>Cristiane Carneiro Rabelo</t>
        </is>
      </c>
      <c r="D401" s="87" t="inlineStr">
        <is>
          <t>CX.OpenAI 07/26</t>
        </is>
      </c>
      <c r="E401" s="87" t="inlineStr">
        <is>
          <t>111838/1</t>
        </is>
      </c>
      <c r="F401" s="87" t="inlineStr">
        <is>
          <t>Tetus</t>
        </is>
      </c>
      <c r="G401" s="87" t="inlineStr">
        <is>
          <t>Júridico</t>
        </is>
      </c>
      <c r="H401" s="88" t="n">
        <v>3900</v>
      </c>
    </row>
    <row r="402">
      <c r="A402" s="87" t="inlineStr">
        <is>
          <t>Jul/26</t>
        </is>
      </c>
      <c r="B402" s="87" t="inlineStr">
        <is>
          <t>10/07/2026</t>
        </is>
      </c>
      <c r="C402" s="87" t="inlineStr">
        <is>
          <t>Cristiane Carneiro Rabelo</t>
        </is>
      </c>
      <c r="D402" s="87" t="inlineStr">
        <is>
          <t>CX.CLAUDE TEAM</t>
        </is>
      </c>
      <c r="E402" s="87" t="inlineStr">
        <is>
          <t>111839/1</t>
        </is>
      </c>
      <c r="F402" s="87" t="inlineStr">
        <is>
          <t>Tetus</t>
        </is>
      </c>
      <c r="G402" s="87" t="inlineStr">
        <is>
          <t>Júridico</t>
        </is>
      </c>
      <c r="H402" s="88" t="n">
        <v>9240</v>
      </c>
    </row>
    <row r="403">
      <c r="A403" s="87" t="inlineStr">
        <is>
          <t>Jul/26</t>
        </is>
      </c>
      <c r="B403" s="87" t="inlineStr">
        <is>
          <t>07/07/2026</t>
        </is>
      </c>
      <c r="C403" s="87" t="inlineStr">
        <is>
          <t>EDITORA E DISTRIBUIDORA EDUCACIONAL S/A</t>
        </is>
      </c>
      <c r="D403" s="87" t="inlineStr">
        <is>
          <t>AV.MENSALIDADE 26</t>
        </is>
      </c>
      <c r="E403" s="87" t="inlineStr">
        <is>
          <t>94807/7</t>
        </is>
      </c>
      <c r="F403" s="87" t="inlineStr">
        <is>
          <t>Tetus</t>
        </is>
      </c>
      <c r="G403" s="87" t="inlineStr">
        <is>
          <t>Júridico</t>
        </is>
      </c>
      <c r="H403" s="88" t="n">
        <v>199.32</v>
      </c>
    </row>
    <row r="404">
      <c r="A404" s="87" t="inlineStr">
        <is>
          <t>Jul/26</t>
        </is>
      </c>
      <c r="B404" s="87" t="inlineStr">
        <is>
          <t>06/07/2026</t>
        </is>
      </c>
      <c r="C404" s="87" t="inlineStr">
        <is>
          <t>GEOVANA CAVALCANTI</t>
        </is>
      </c>
      <c r="D404" s="87" t="inlineStr">
        <is>
          <t>SAL.sal 0626</t>
        </is>
      </c>
      <c r="E404" s="87" t="inlineStr">
        <is>
          <t>112363/1</t>
        </is>
      </c>
      <c r="F404" s="87" t="inlineStr">
        <is>
          <t>Tetus</t>
        </is>
      </c>
      <c r="G404" s="87" t="inlineStr">
        <is>
          <t>Júridico</t>
        </is>
      </c>
      <c r="H404" s="88" t="n">
        <v>2946</v>
      </c>
    </row>
    <row r="405">
      <c r="A405" s="87" t="inlineStr">
        <is>
          <t>Jul/26</t>
        </is>
      </c>
      <c r="B405" s="87" t="inlineStr">
        <is>
          <t>27/07/2026</t>
        </is>
      </c>
      <c r="C405" s="87" t="inlineStr">
        <is>
          <t>GEOVANA CAVALCANTI</t>
        </is>
      </c>
      <c r="D405" s="87" t="inlineStr">
        <is>
          <t>SAL.vale 072026</t>
        </is>
      </c>
      <c r="E405" s="87" t="inlineStr">
        <is>
          <t>113701/1</t>
        </is>
      </c>
      <c r="F405" s="87" t="inlineStr">
        <is>
          <t>Tetus</t>
        </is>
      </c>
      <c r="G405" s="87" t="inlineStr">
        <is>
          <t>Júridico</t>
        </is>
      </c>
      <c r="H405" s="88" t="n">
        <v>1155</v>
      </c>
    </row>
    <row r="406">
      <c r="A406" s="87" t="inlineStr">
        <is>
          <t>Jul/26</t>
        </is>
      </c>
      <c r="B406" s="87" t="inlineStr">
        <is>
          <t>30/07/2026</t>
        </is>
      </c>
      <c r="C406" s="87" t="inlineStr">
        <is>
          <t>INTELBRAS S.A. INDUSTRIA DE TELECOMUNICACAO ELETRONICA BRASILEIRA</t>
        </is>
      </c>
      <c r="D406" s="87" t="inlineStr">
        <is>
          <t>NFS.377682</t>
        </is>
      </c>
      <c r="E406" s="87" t="inlineStr">
        <is>
          <t>114092/1</t>
        </is>
      </c>
      <c r="F406" s="87" t="inlineStr">
        <is>
          <t>Tetus</t>
        </is>
      </c>
      <c r="G406" s="87" t="inlineStr">
        <is>
          <t>T.I</t>
        </is>
      </c>
      <c r="H406" s="88" t="n">
        <v>79.59999999999999</v>
      </c>
    </row>
    <row r="407">
      <c r="A407" s="87" t="inlineStr">
        <is>
          <t>Jul/26</t>
        </is>
      </c>
      <c r="B407" s="87" t="inlineStr">
        <is>
          <t>01/07/2026</t>
        </is>
      </c>
      <c r="C407" s="87" t="inlineStr">
        <is>
          <t>J H ALVES - MONITOR REMOTO</t>
        </is>
      </c>
      <c r="D407" s="87" t="inlineStr">
        <is>
          <t>NFS.3</t>
        </is>
      </c>
      <c r="E407" s="87" t="inlineStr">
        <is>
          <t>111371/1</t>
        </is>
      </c>
      <c r="F407" s="87" t="inlineStr">
        <is>
          <t>Tetus</t>
        </is>
      </c>
      <c r="G407" s="87" t="inlineStr">
        <is>
          <t>T.I</t>
        </is>
      </c>
      <c r="H407" s="88" t="n">
        <v>6300</v>
      </c>
    </row>
    <row r="408">
      <c r="A408" s="87" t="inlineStr">
        <is>
          <t>Jul/26</t>
        </is>
      </c>
      <c r="B408" s="87" t="inlineStr">
        <is>
          <t>18/07/2026</t>
        </is>
      </c>
      <c r="C408" s="87" t="inlineStr">
        <is>
          <t>LEME INTELIGENCIA FORENSE E CONSULTORIA EMPRESARIAL LTDA</t>
        </is>
      </c>
      <c r="D408" s="87" t="inlineStr">
        <is>
          <t>NFS.22861</t>
        </is>
      </c>
      <c r="E408" s="87" t="inlineStr">
        <is>
          <t>112755/1</t>
        </is>
      </c>
      <c r="F408" s="87" t="inlineStr">
        <is>
          <t>Tetus</t>
        </is>
      </c>
      <c r="G408" s="87" t="inlineStr">
        <is>
          <t>Júridico</t>
        </is>
      </c>
      <c r="H408" s="88" t="n">
        <v>970.5700000000001</v>
      </c>
    </row>
    <row r="409">
      <c r="A409" s="87" t="inlineStr">
        <is>
          <t>Jul/26</t>
        </is>
      </c>
      <c r="B409" s="87" t="inlineStr">
        <is>
          <t>25/07/2026</t>
        </is>
      </c>
      <c r="C409" s="87" t="inlineStr">
        <is>
          <t>LOCAWEB SERVICOS DE INTERNET S/A</t>
        </is>
      </c>
      <c r="D409" s="87" t="inlineStr">
        <is>
          <t>BOL.LOCAWEB 07.26</t>
        </is>
      </c>
      <c r="E409" s="87" t="inlineStr">
        <is>
          <t>113049/1</t>
        </is>
      </c>
      <c r="F409" s="87" t="inlineStr">
        <is>
          <t>Tetus</t>
        </is>
      </c>
      <c r="G409" s="87" t="inlineStr">
        <is>
          <t>T.I</t>
        </is>
      </c>
      <c r="H409" s="88" t="n">
        <v>1151.26</v>
      </c>
    </row>
    <row r="410">
      <c r="A410" s="87" t="inlineStr">
        <is>
          <t>Jul/26</t>
        </is>
      </c>
      <c r="B410" s="87" t="inlineStr">
        <is>
          <t>05/07/2026</t>
        </is>
      </c>
      <c r="C410" s="87" t="inlineStr">
        <is>
          <t>MICHELE DE OLIVEIRA SILVA</t>
        </is>
      </c>
      <c r="D410" s="87" t="inlineStr">
        <is>
          <t>REC.RecibosMichele_2026</t>
        </is>
      </c>
      <c r="E410" s="87" t="inlineStr">
        <is>
          <t>96274/7</t>
        </is>
      </c>
      <c r="F410" s="87" t="inlineStr">
        <is>
          <t>Tetus</t>
        </is>
      </c>
      <c r="G410" s="87" t="inlineStr">
        <is>
          <t>Júridico</t>
        </is>
      </c>
      <c r="H410" s="88" t="n">
        <v>2750</v>
      </c>
    </row>
    <row r="411">
      <c r="A411" s="87" t="inlineStr">
        <is>
          <t>Jul/26</t>
        </is>
      </c>
      <c r="B411" s="87" t="inlineStr">
        <is>
          <t>10/07/2026</t>
        </is>
      </c>
      <c r="C411" s="87" t="inlineStr">
        <is>
          <t>MIGUEL CLEPF PASSOS</t>
        </is>
      </c>
      <c r="D411" s="87" t="inlineStr">
        <is>
          <t>AV.Hon. 2026.1 Miguel</t>
        </is>
      </c>
      <c r="E411" s="87" t="inlineStr">
        <is>
          <t>111746/1</t>
        </is>
      </c>
      <c r="F411" s="87" t="inlineStr">
        <is>
          <t>Tetus</t>
        </is>
      </c>
      <c r="G411" s="87" t="inlineStr">
        <is>
          <t>Júridico</t>
        </is>
      </c>
      <c r="H411" s="88" t="n">
        <v>15139.8</v>
      </c>
    </row>
    <row r="412">
      <c r="A412" s="87" t="inlineStr">
        <is>
          <t>Jul/26</t>
        </is>
      </c>
      <c r="B412" s="87" t="inlineStr">
        <is>
          <t>20/07/2026</t>
        </is>
      </c>
      <c r="C412" s="87" t="inlineStr">
        <is>
          <t>PAULO ROBERTO DE SOUZA 03565732652</t>
        </is>
      </c>
      <c r="D412" s="87" t="inlineStr">
        <is>
          <t>NFS.279</t>
        </is>
      </c>
      <c r="E412" s="87" t="inlineStr">
        <is>
          <t>113012/1</t>
        </is>
      </c>
      <c r="F412" s="87" t="inlineStr">
        <is>
          <t>Tetus</t>
        </is>
      </c>
      <c r="G412" s="87" t="inlineStr">
        <is>
          <t>Júridico</t>
        </is>
      </c>
      <c r="H412" s="88" t="n">
        <v>50</v>
      </c>
    </row>
    <row r="413">
      <c r="A413" s="87" t="inlineStr">
        <is>
          <t>Jul/26</t>
        </is>
      </c>
      <c r="B413" s="87" t="inlineStr">
        <is>
          <t>30/07/2026</t>
        </is>
      </c>
      <c r="C413" s="87" t="inlineStr">
        <is>
          <t>SABHA INTELIGENCIA EM TECNOLOGIA LTDA</t>
        </is>
      </c>
      <c r="D413" s="87" t="inlineStr">
        <is>
          <t>NFS.66</t>
        </is>
      </c>
      <c r="E413" s="87" t="inlineStr">
        <is>
          <t>112107/1</t>
        </is>
      </c>
      <c r="F413" s="87" t="inlineStr">
        <is>
          <t>Tetus</t>
        </is>
      </c>
      <c r="G413" s="87" t="inlineStr">
        <is>
          <t>T.I</t>
        </is>
      </c>
      <c r="H413" s="88" t="n">
        <v>1037.38</v>
      </c>
    </row>
    <row r="414">
      <c r="A414" s="87" t="inlineStr">
        <is>
          <t>Jul/26</t>
        </is>
      </c>
      <c r="B414" s="87" t="inlineStr">
        <is>
          <t>15/07/2026</t>
        </is>
      </c>
      <c r="C414" s="87" t="inlineStr">
        <is>
          <t>SAO PAULO TRIBUNAL DE JUSTICA</t>
        </is>
      </c>
      <c r="D414" s="87" t="inlineStr">
        <is>
          <t>PROC.Ofic. Cond. Cit.</t>
        </is>
      </c>
      <c r="E414" s="87" t="inlineStr">
        <is>
          <t>112621/1</t>
        </is>
      </c>
      <c r="F414" s="87" t="inlineStr">
        <is>
          <t>Tetus</t>
        </is>
      </c>
      <c r="G414" s="87" t="inlineStr">
        <is>
          <t>Júridico</t>
        </is>
      </c>
      <c r="H414" s="88" t="n">
        <v>115.26</v>
      </c>
    </row>
    <row r="415">
      <c r="A415" s="87" t="inlineStr">
        <is>
          <t>Jul/26</t>
        </is>
      </c>
      <c r="B415" s="87" t="inlineStr">
        <is>
          <t>25/07/2026</t>
        </is>
      </c>
      <c r="C415" s="87" t="inlineStr">
        <is>
          <t>SERASA S.A.</t>
        </is>
      </c>
      <c r="D415" s="87" t="inlineStr">
        <is>
          <t>NFS.1042371</t>
        </is>
      </c>
      <c r="E415" s="87" t="inlineStr">
        <is>
          <t>113111/1</t>
        </is>
      </c>
      <c r="F415" s="87" t="inlineStr">
        <is>
          <t>Tetus</t>
        </is>
      </c>
      <c r="G415" s="87" t="inlineStr">
        <is>
          <t>Júridico</t>
        </is>
      </c>
      <c r="H415" s="88" t="n">
        <v>2495.31</v>
      </c>
    </row>
    <row r="416">
      <c r="A416" s="87" t="inlineStr">
        <is>
          <t>Jul/26</t>
        </is>
      </c>
      <c r="B416" s="87" t="inlineStr">
        <is>
          <t>25/07/2026</t>
        </is>
      </c>
      <c r="C416" s="87" t="inlineStr">
        <is>
          <t>SERASA S.A.</t>
        </is>
      </c>
      <c r="D416" s="87" t="inlineStr">
        <is>
          <t>NFS.1045791</t>
        </is>
      </c>
      <c r="E416" s="87" t="inlineStr">
        <is>
          <t>113114/1</t>
        </is>
      </c>
      <c r="F416" s="87" t="inlineStr">
        <is>
          <t>Tetus</t>
        </is>
      </c>
      <c r="G416" s="87" t="inlineStr">
        <is>
          <t>Júridico</t>
        </is>
      </c>
      <c r="H416" s="88" t="n">
        <v>11.43</v>
      </c>
    </row>
    <row r="417">
      <c r="A417" s="87" t="inlineStr">
        <is>
          <t>Jul/26</t>
        </is>
      </c>
      <c r="B417" s="87" t="inlineStr">
        <is>
          <t>10/07/2026</t>
        </is>
      </c>
      <c r="C417" s="87" t="inlineStr">
        <is>
          <t>THAMAR VICTORIA BARBOSA E SOUZA</t>
        </is>
      </c>
      <c r="D417" s="87" t="inlineStr">
        <is>
          <t>AV.HON_JURIDICO</t>
        </is>
      </c>
      <c r="E417" s="87" t="inlineStr">
        <is>
          <t>111792/1</t>
        </is>
      </c>
      <c r="F417" s="87" t="inlineStr">
        <is>
          <t>Tetus</t>
        </is>
      </c>
      <c r="G417" s="87" t="inlineStr">
        <is>
          <t>Júridico</t>
        </is>
      </c>
      <c r="H417" s="88" t="n">
        <v>2000</v>
      </c>
    </row>
    <row r="418">
      <c r="A418" s="87" t="inlineStr">
        <is>
          <t>Jul/26</t>
        </is>
      </c>
      <c r="B418" s="87" t="inlineStr">
        <is>
          <t>24/07/2026</t>
        </is>
      </c>
      <c r="C418" s="87" t="inlineStr">
        <is>
          <t>TRIBUNAL REGIONAL DO TRABALHO DA 15A. REGIAO</t>
        </is>
      </c>
      <c r="D418" s="87" t="inlineStr">
        <is>
          <t>PROC.TRT_TETUS</t>
        </is>
      </c>
      <c r="E418" s="87" t="inlineStr">
        <is>
          <t>113596/1</t>
        </is>
      </c>
      <c r="F418" s="87" t="inlineStr">
        <is>
          <t>Tetus</t>
        </is>
      </c>
      <c r="G418" s="87" t="inlineStr">
        <is>
          <t>Júridico</t>
        </is>
      </c>
      <c r="H418" s="88" t="n">
        <v>700</v>
      </c>
    </row>
    <row r="419">
      <c r="A419" s="87" t="inlineStr">
        <is>
          <t>Jul/26</t>
        </is>
      </c>
      <c r="B419" s="87" t="inlineStr">
        <is>
          <t>06/07/2026</t>
        </is>
      </c>
      <c r="C419" s="87" t="inlineStr">
        <is>
          <t>VINICIUS DI FRANCO HEITOR</t>
        </is>
      </c>
      <c r="D419" s="87" t="inlineStr">
        <is>
          <t>SAL.sal 0626</t>
        </is>
      </c>
      <c r="E419" s="87" t="inlineStr">
        <is>
          <t>112402/1</t>
        </is>
      </c>
      <c r="F419" s="87" t="inlineStr">
        <is>
          <t>Tetus</t>
        </is>
      </c>
      <c r="G419" s="87" t="inlineStr">
        <is>
          <t>T.I</t>
        </is>
      </c>
      <c r="H419" s="88" t="n">
        <v>1225</v>
      </c>
    </row>
    <row r="420">
      <c r="A420" s="87" t="inlineStr">
        <is>
          <t>Jul/26</t>
        </is>
      </c>
      <c r="B420" s="87" t="inlineStr">
        <is>
          <t>20/07/2026</t>
        </is>
      </c>
      <c r="C420" s="87" t="inlineStr">
        <is>
          <t>VINICIUS DI FRANCO HEITOR</t>
        </is>
      </c>
      <c r="D420" s="87" t="inlineStr">
        <is>
          <t>FGTS/INSS</t>
        </is>
      </c>
      <c r="E420" s="87" t="inlineStr">
        <is>
          <t>113754/1</t>
        </is>
      </c>
      <c r="F420" s="87" t="inlineStr">
        <is>
          <t>Tetus</t>
        </is>
      </c>
      <c r="G420" s="87" t="inlineStr">
        <is>
          <t>T.I</t>
        </is>
      </c>
      <c r="H420" s="88" t="n">
        <v>1029</v>
      </c>
    </row>
    <row r="421">
      <c r="A421" s="87" t="inlineStr">
        <is>
          <t>Jul/26</t>
        </is>
      </c>
      <c r="B421" s="87" t="inlineStr">
        <is>
          <t>20/07/2026</t>
        </is>
      </c>
      <c r="C421" s="87" t="inlineStr">
        <is>
          <t>VINICIUS DI FRANCO HEITOR</t>
        </is>
      </c>
      <c r="D421" s="87" t="inlineStr">
        <is>
          <t>FGTS/INSS</t>
        </is>
      </c>
      <c r="E421" s="87" t="inlineStr">
        <is>
          <t>113754/7</t>
        </is>
      </c>
      <c r="F421" s="87" t="inlineStr">
        <is>
          <t>Tetus</t>
        </is>
      </c>
      <c r="G421" s="87" t="inlineStr">
        <is>
          <t>T.I</t>
        </is>
      </c>
      <c r="H421" s="88" t="n">
        <v>207.04</v>
      </c>
    </row>
    <row r="422">
      <c r="A422" s="87" t="inlineStr">
        <is>
          <t>Jul/26</t>
        </is>
      </c>
      <c r="B422" s="87" t="inlineStr">
        <is>
          <t>2026-07-01 00:00:00</t>
        </is>
      </c>
      <c r="C422" s="87" t="inlineStr">
        <is>
          <t>Vale Alimentação Vinicius</t>
        </is>
      </c>
      <c r="D422" s="87" t="inlineStr"/>
      <c r="E422" s="87" t="inlineStr"/>
      <c r="F422" s="87" t="inlineStr">
        <is>
          <t>Tetus</t>
        </is>
      </c>
      <c r="G422" s="87" t="inlineStr">
        <is>
          <t>T.I</t>
        </is>
      </c>
      <c r="H422" s="88" t="n">
        <v>485</v>
      </c>
    </row>
    <row r="423">
      <c r="A423" s="87" t="inlineStr">
        <is>
          <t>Jul/26</t>
        </is>
      </c>
      <c r="B423" s="87" t="inlineStr">
        <is>
          <t>25/07/2026</t>
        </is>
      </c>
      <c r="C423" s="87" t="inlineStr">
        <is>
          <t>WEB MOBILE TELECOM LTDA</t>
        </is>
      </c>
      <c r="D423" s="87" t="inlineStr">
        <is>
          <t>NFS.84</t>
        </is>
      </c>
      <c r="E423" s="87" t="inlineStr">
        <is>
          <t>113583/1</t>
        </is>
      </c>
      <c r="F423" s="87" t="inlineStr">
        <is>
          <t>Tetus</t>
        </is>
      </c>
      <c r="G423" s="87" t="inlineStr">
        <is>
          <t>T.I</t>
        </is>
      </c>
      <c r="H423" s="88" t="n">
        <v>82.5</v>
      </c>
    </row>
    <row r="424">
      <c r="G424" s="89" t="inlineStr">
        <is>
          <t>TOTAL</t>
        </is>
      </c>
      <c r="H424" s="90">
        <f>SUM(H5:H423)</f>
        <v/>
      </c>
    </row>
  </sheetData>
  <autoFilter ref="A4:H42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2026-08-06T13:55:25Z</dcterms:created>
  <dcterms:modified xsi:type="dcterms:W3CDTF">2026-08-06T13:55:26Z</dcterms:modified>
</cp:coreProperties>
</file>