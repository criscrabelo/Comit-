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'Comparativo'!$A$5:$N$32</definedName>
    <definedName name="_xlnm._FilterDatabase" localSheetId="2" hidden="1">'Planejado'!$A$4:$T$31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SUMIFS(Planejado!$T$5:$T$31,Planejado!$B$5:$B$31,"Jurídico",Planejado!$C$5:$C$31,"Equipe")</f>
        <v/>
      </c>
      <c r="D6" s="9">
        <f>SUMIFS(Comparativo!$I$6:$I$32,Comparativo!$B$6:$B$32,"Jurídico",Comparativo!$C$6:$C$32,"Equipe")</f>
        <v/>
      </c>
      <c r="E6" s="9">
        <f>SUMIFS(Comparativo!$J$6:$J$32,Comparativo!$B$6:$B$32,"Jurídico",Comparativo!$C$6:$C$32,"Equipe")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COUNTIFS(Comparativo!$P$6:$P$32,"&gt;0",Comparativo!$B$6:$B$32,"Jurídico",Comparativo!$C$6:$C$32,"Equipe")&amp;" de "&amp;COUNTIFS(Comparativo!$A$6:$A$32,"?*",Comparativo!$B$6:$B$32,"Jurídico",Comparativo!$C$6:$C$32,"Equipe")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SUMIFS(Planejado!$T$5:$T$31,Planejado!$B$5:$B$31,"Jurídico",Planejado!$C$5:$C$31,"Despesas")</f>
        <v/>
      </c>
      <c r="D7" s="9">
        <f>SUMIFS(Comparativo!$I$6:$I$32,Comparativo!$B$6:$B$32,"Jurídico",Comparativo!$C$6:$C$32,"Despesas")</f>
        <v/>
      </c>
      <c r="E7" s="9">
        <f>SUMIFS(Comparativo!$J$6:$J$32,Comparativo!$B$6:$B$32,"Jurídico",Comparativo!$C$6:$C$32,"Despesas")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COUNTIFS(Comparativo!$P$6:$P$32,"&gt;0",Comparativo!$B$6:$B$32,"Jurídico",Comparativo!$C$6:$C$32,"Despesas")&amp;" de "&amp;COUNTIFS(Comparativo!$A$6:$A$32,"?*",Comparativo!$B$6:$B$32,"Jurídico",Comparativo!$C$6:$C$32,"Despesas")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SUMIFS(Planejado!$T$5:$T$31,Planejado!$B$5:$B$31,"Jurídico")</f>
        <v/>
      </c>
      <c r="D8" s="13">
        <f>SUMIFS(Comparativo!$I$6:$I$32,Comparativo!$B$6:$B$32,"Jurídico")</f>
        <v/>
      </c>
      <c r="E8" s="13">
        <f>SUMIFS(Comparativo!$J$6:$J$32,Comparativo!$B$6:$B$32,"Jurídico")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COUNTIFS(Comparativo!$P$6:$P$32,"&gt;0",Comparativo!$B$6:$B$32,"Jurídico")&amp;" de "&amp;COUNTIFS(Comparativo!$A$6:$A$32,"?*",Comparativo!$B$6:$B$32,"Jurídico")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SUMIFS(Planejado!$T$5:$T$31,Planejado!$B$5:$B$31,"TI",Planejado!$C$5:$C$31,"Equipe")</f>
        <v/>
      </c>
      <c r="D9" s="9">
        <f>SUMIFS(Comparativo!$I$6:$I$32,Comparativo!$B$6:$B$32,"TI",Comparativo!$C$6:$C$32,"Equipe")</f>
        <v/>
      </c>
      <c r="E9" s="9">
        <f>SUMIFS(Comparativo!$J$6:$J$32,Comparativo!$B$6:$B$32,"TI",Comparativo!$C$6:$C$32,"Equipe")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COUNTIFS(Comparativo!$P$6:$P$32,"&gt;0",Comparativo!$B$6:$B$32,"TI",Comparativo!$C$6:$C$32,"Equipe")&amp;" de "&amp;COUNTIFS(Comparativo!$A$6:$A$32,"?*",Comparativo!$B$6:$B$32,"TI",Comparativo!$C$6:$C$32,"Equipe")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SUMIFS(Planejado!$T$5:$T$31,Planejado!$B$5:$B$31,"TI",Planejado!$C$5:$C$31,"Despesas")</f>
        <v/>
      </c>
      <c r="D10" s="9">
        <f>SUMIFS(Comparativo!$I$6:$I$32,Comparativo!$B$6:$B$32,"TI",Comparativo!$C$6:$C$32,"Despesas")</f>
        <v/>
      </c>
      <c r="E10" s="9">
        <f>SUMIFS(Comparativo!$J$6:$J$32,Comparativo!$B$6:$B$32,"TI",Comparativo!$C$6:$C$32,"Despesas")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COUNTIFS(Comparativo!$P$6:$P$32,"&gt;0",Comparativo!$B$6:$B$32,"TI",Comparativo!$C$6:$C$32,"Despesas")&amp;" de "&amp;COUNTIFS(Comparativo!$A$6:$A$32,"?*",Comparativo!$B$6:$B$32,"TI",Comparativo!$C$6:$C$32,"Despesas")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SUMIFS(Planejado!$T$5:$T$31,Planejado!$B$5:$B$31,"TI")</f>
        <v/>
      </c>
      <c r="D11" s="13">
        <f>SUMIFS(Comparativo!$I$6:$I$32,Comparativo!$B$6:$B$32,"TI")</f>
        <v/>
      </c>
      <c r="E11" s="13">
        <f>SUMIFS(Comparativo!$J$6:$J$32,Comparativo!$B$6:$B$32,"TI")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COUNTIFS(Comparativo!$P$6:$P$32,"&gt;0",Comparativo!$B$6:$B$32,"TI")&amp;" de "&amp;COUNTIFS(Comparativo!$A$6:$A$32,"?*",Comparativo!$B$6:$B$32,"TI")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SUM(Planejado!$T$5:$T$31)</f>
        <v/>
      </c>
      <c r="D12" s="17">
        <f>SUM(Comparativo!$I$6:$I$32)</f>
        <v/>
      </c>
      <c r="E12" s="17">
        <f>SUM(Comparativo!$J$6:$J$32)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COUNTIFS(Comparativo!$P$6:$P$32,"&gt;0")&amp;" de "&amp;COUNTA(Comparativo!$A$6:$A$32)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-SUMIF(Comparativo!$Q$6:$Q$32,"&lt;0")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-SUMIF(Comparativo!$Q$6:$Q$32,"&gt;0")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-SUM(Comparativo!$Q$6:$Q$32)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IFERROR(-SUM(Comparativo!$Q$6:$Q$32)/Comparativo!$D$3*12,"")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IFERROR(-SUM(Comparativo!$Q$6:$Q$32)/SUM(Comparativo!$S$6:$S$32),"")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IFERROR(INDEX(Comparativo!$D$6:$D$32,MATCH(LARGE(Comparativo!$R$6:$R$32,A25),Comparativo!$R$6:$R$32,0)),"")</f>
        <v/>
      </c>
      <c r="C25" s="31">
        <f>IFERROR(INDEX(Comparativo!$B$6:$B$32,MATCH(LARGE(Comparativo!$R$6:$R$32,A25),Comparativo!$R$6:$R$32,0)),"")</f>
        <v/>
      </c>
      <c r="D25" s="32">
        <f>IFERROR(INDEX(Comparativo!$I$6:$I$32,MATCH(LARGE(Comparativo!$R$6:$R$32,A25),Comparativo!$R$6:$R$32,0)),"")</f>
        <v/>
      </c>
      <c r="E25" s="32">
        <f>IFERROR(INDEX(Comparativo!$J$6:$J$32,MATCH(LARGE(Comparativo!$R$6:$R$32,A25),Comparativo!$R$6:$R$32,0)),"")</f>
        <v/>
      </c>
      <c r="F25" s="33">
        <f>IFERROR(-IFERROR(INDEX(Comparativo!$K$6:$K$32,MATCH(LARGE(Comparativo!$R$6:$R$32,A25),Comparativo!$R$6:$R$32,0)),""),"")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IFERROR(INDEX(Comparativo!$D$6:$D$32,MATCH(LARGE(Comparativo!$R$6:$R$32,A26),Comparativo!$R$6:$R$32,0)),"")</f>
        <v/>
      </c>
      <c r="C26" s="31">
        <f>IFERROR(INDEX(Comparativo!$B$6:$B$32,MATCH(LARGE(Comparativo!$R$6:$R$32,A26),Comparativo!$R$6:$R$32,0)),"")</f>
        <v/>
      </c>
      <c r="D26" s="32">
        <f>IFERROR(INDEX(Comparativo!$I$6:$I$32,MATCH(LARGE(Comparativo!$R$6:$R$32,A26),Comparativo!$R$6:$R$32,0)),"")</f>
        <v/>
      </c>
      <c r="E26" s="32">
        <f>IFERROR(INDEX(Comparativo!$J$6:$J$32,MATCH(LARGE(Comparativo!$R$6:$R$32,A26),Comparativo!$R$6:$R$32,0)),"")</f>
        <v/>
      </c>
      <c r="F26" s="33">
        <f>IFERROR(-IFERROR(INDEX(Comparativo!$K$6:$K$32,MATCH(LARGE(Comparativo!$R$6:$R$32,A26),Comparativo!$R$6:$R$32,0)),""),"")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IFERROR(INDEX(Comparativo!$D$6:$D$32,MATCH(LARGE(Comparativo!$R$6:$R$32,A27),Comparativo!$R$6:$R$32,0)),"")</f>
        <v/>
      </c>
      <c r="C27" s="31">
        <f>IFERROR(INDEX(Comparativo!$B$6:$B$32,MATCH(LARGE(Comparativo!$R$6:$R$32,A27),Comparativo!$R$6:$R$32,0)),"")</f>
        <v/>
      </c>
      <c r="D27" s="32">
        <f>IFERROR(INDEX(Comparativo!$I$6:$I$32,MATCH(LARGE(Comparativo!$R$6:$R$32,A27),Comparativo!$R$6:$R$32,0)),"")</f>
        <v/>
      </c>
      <c r="E27" s="32">
        <f>IFERROR(INDEX(Comparativo!$J$6:$J$32,MATCH(LARGE(Comparativo!$R$6:$R$32,A27),Comparativo!$R$6:$R$32,0)),"")</f>
        <v/>
      </c>
      <c r="F27" s="33">
        <f>IFERROR(-IFERROR(INDEX(Comparativo!$K$6:$K$32,MATCH(LARGE(Comparativo!$R$6:$R$32,A27),Comparativo!$R$6:$R$32,0)),""),"")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IFERROR(INDEX(Comparativo!$D$6:$D$32,MATCH(LARGE(Comparativo!$R$6:$R$32,A28),Comparativo!$R$6:$R$32,0)),"")</f>
        <v/>
      </c>
      <c r="C28" s="31">
        <f>IFERROR(INDEX(Comparativo!$B$6:$B$32,MATCH(LARGE(Comparativo!$R$6:$R$32,A28),Comparativo!$R$6:$R$32,0)),"")</f>
        <v/>
      </c>
      <c r="D28" s="32">
        <f>IFERROR(INDEX(Comparativo!$I$6:$I$32,MATCH(LARGE(Comparativo!$R$6:$R$32,A28),Comparativo!$R$6:$R$32,0)),"")</f>
        <v/>
      </c>
      <c r="E28" s="32">
        <f>IFERROR(INDEX(Comparativo!$J$6:$J$32,MATCH(LARGE(Comparativo!$R$6:$R$32,A28),Comparativo!$R$6:$R$32,0)),"")</f>
        <v/>
      </c>
      <c r="F28" s="33">
        <f>IFERROR(-IFERROR(INDEX(Comparativo!$K$6:$K$32,MATCH(LARGE(Comparativo!$R$6:$R$32,A28),Comparativo!$R$6:$R$32,0)),""),"")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IFERROR(INDEX(Comparativo!$D$6:$D$32,MATCH(LARGE(Comparativo!$R$6:$R$32,A29),Comparativo!$R$6:$R$32,0)),"")</f>
        <v/>
      </c>
      <c r="C29" s="31">
        <f>IFERROR(INDEX(Comparativo!$B$6:$B$32,MATCH(LARGE(Comparativo!$R$6:$R$32,A29),Comparativo!$R$6:$R$32,0)),"")</f>
        <v/>
      </c>
      <c r="D29" s="32">
        <f>IFERROR(INDEX(Comparativo!$I$6:$I$32,MATCH(LARGE(Comparativo!$R$6:$R$32,A29),Comparativo!$R$6:$R$32,0)),"")</f>
        <v/>
      </c>
      <c r="E29" s="32">
        <f>IFERROR(INDEX(Comparativo!$J$6:$J$32,MATCH(LARGE(Comparativo!$R$6:$R$32,A29),Comparativo!$R$6:$R$32,0)),"")</f>
        <v/>
      </c>
      <c r="F29" s="33">
        <f>IFERROR(-IFERROR(INDEX(Comparativo!$K$6:$K$32,MATCH(LARGE(Comparativo!$R$6:$R$32,A29),Comparativo!$R$6:$R$32,0)),""),"")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IFERROR(INDEX(Comparativo!$D$6:$D$32,MATCH(LARGE(Comparativo!$O$6:$O$32,A34),Comparativo!$O$6:$O$32,0)),"")</f>
        <v/>
      </c>
      <c r="C34" s="31">
        <f>IFERROR(INDEX(Comparativo!$B$6:$B$32,MATCH(LARGE(Comparativo!$O$6:$O$32,A34),Comparativo!$O$6:$O$32,0)),"")</f>
        <v/>
      </c>
      <c r="D34" s="32">
        <f>IFERROR(INDEX(Comparativo!$I$6:$I$32,MATCH(LARGE(Comparativo!$O$6:$O$32,A34),Comparativo!$O$6:$O$32,0)),"")</f>
        <v/>
      </c>
      <c r="E34" s="32">
        <f>IFERROR(INDEX(Comparativo!$J$6:$J$32,MATCH(LARGE(Comparativo!$O$6:$O$32,A34),Comparativo!$O$6:$O$32,0)),"")</f>
        <v/>
      </c>
      <c r="F34" s="32">
        <f>IFERROR(INDEX(Comparativo!$K$6:$K$32,MATCH(LARGE(Comparativo!$O$6:$O$32,A34),Comparativo!$O$6:$O$32,0)),"")</f>
        <v/>
      </c>
      <c r="G34" s="34">
        <f>IFERROR(F34/D34,"")</f>
        <v/>
      </c>
    </row>
    <row r="35">
      <c r="A35" s="30" t="n">
        <v>2</v>
      </c>
      <c r="B35" s="31">
        <f>IFERROR(INDEX(Comparativo!$D$6:$D$32,MATCH(LARGE(Comparativo!$O$6:$O$32,A35),Comparativo!$O$6:$O$32,0)),"")</f>
        <v/>
      </c>
      <c r="C35" s="31">
        <f>IFERROR(INDEX(Comparativo!$B$6:$B$32,MATCH(LARGE(Comparativo!$O$6:$O$32,A35),Comparativo!$O$6:$O$32,0)),"")</f>
        <v/>
      </c>
      <c r="D35" s="32">
        <f>IFERROR(INDEX(Comparativo!$I$6:$I$32,MATCH(LARGE(Comparativo!$O$6:$O$32,A35),Comparativo!$O$6:$O$32,0)),"")</f>
        <v/>
      </c>
      <c r="E35" s="32">
        <f>IFERROR(INDEX(Comparativo!$J$6:$J$32,MATCH(LARGE(Comparativo!$O$6:$O$32,A35),Comparativo!$O$6:$O$32,0)),"")</f>
        <v/>
      </c>
      <c r="F35" s="32">
        <f>IFERROR(INDEX(Comparativo!$K$6:$K$32,MATCH(LARGE(Comparativo!$O$6:$O$32,A35),Comparativo!$O$6:$O$32,0)),"")</f>
        <v/>
      </c>
      <c r="G35" s="34">
        <f>IFERROR(F35/D35,"")</f>
        <v/>
      </c>
    </row>
    <row r="36">
      <c r="A36" s="30" t="n">
        <v>3</v>
      </c>
      <c r="B36" s="31">
        <f>IFERROR(INDEX(Comparativo!$D$6:$D$32,MATCH(LARGE(Comparativo!$O$6:$O$32,A36),Comparativo!$O$6:$O$32,0)),"")</f>
        <v/>
      </c>
      <c r="C36" s="31">
        <f>IFERROR(INDEX(Comparativo!$B$6:$B$32,MATCH(LARGE(Comparativo!$O$6:$O$32,A36),Comparativo!$O$6:$O$32,0)),"")</f>
        <v/>
      </c>
      <c r="D36" s="32">
        <f>IFERROR(INDEX(Comparativo!$I$6:$I$32,MATCH(LARGE(Comparativo!$O$6:$O$32,A36),Comparativo!$O$6:$O$32,0)),"")</f>
        <v/>
      </c>
      <c r="E36" s="32">
        <f>IFERROR(INDEX(Comparativo!$J$6:$J$32,MATCH(LARGE(Comparativo!$O$6:$O$32,A36),Comparativo!$O$6:$O$32,0)),"")</f>
        <v/>
      </c>
      <c r="F36" s="32">
        <f>IFERROR(INDEX(Comparativo!$K$6:$K$32,MATCH(LARGE(Comparativo!$O$6:$O$32,A36),Comparativo!$O$6:$O$32,0)),"")</f>
        <v/>
      </c>
      <c r="G36" s="34">
        <f>IFERROR(F36/D36,"")</f>
        <v/>
      </c>
    </row>
    <row r="37">
      <c r="A37" s="30" t="n">
        <v>4</v>
      </c>
      <c r="B37" s="31">
        <f>IFERROR(INDEX(Comparativo!$D$6:$D$32,MATCH(LARGE(Comparativo!$O$6:$O$32,A37),Comparativo!$O$6:$O$32,0)),"")</f>
        <v/>
      </c>
      <c r="C37" s="31">
        <f>IFERROR(INDEX(Comparativo!$B$6:$B$32,MATCH(LARGE(Comparativo!$O$6:$O$32,A37),Comparativo!$O$6:$O$32,0)),"")</f>
        <v/>
      </c>
      <c r="D37" s="32">
        <f>IFERROR(INDEX(Comparativo!$I$6:$I$32,MATCH(LARGE(Comparativo!$O$6:$O$32,A37),Comparativo!$O$6:$O$32,0)),"")</f>
        <v/>
      </c>
      <c r="E37" s="32">
        <f>IFERROR(INDEX(Comparativo!$J$6:$J$32,MATCH(LARGE(Comparativo!$O$6:$O$32,A37),Comparativo!$O$6:$O$32,0)),"")</f>
        <v/>
      </c>
      <c r="F37" s="32">
        <f>IFERROR(INDEX(Comparativo!$K$6:$K$32,MATCH(LARGE(Comparativo!$O$6:$O$32,A37),Comparativo!$O$6:$O$32,0)),"")</f>
        <v/>
      </c>
      <c r="G37" s="34">
        <f>IFERROR(F37/D37,"")</f>
        <v/>
      </c>
    </row>
    <row r="38">
      <c r="A38" s="30" t="n">
        <v>5</v>
      </c>
      <c r="B38" s="31">
        <f>IFERROR(INDEX(Comparativo!$D$6:$D$32,MATCH(LARGE(Comparativo!$O$6:$O$32,A38),Comparativo!$O$6:$O$32,0)),"")</f>
        <v/>
      </c>
      <c r="C38" s="31">
        <f>IFERROR(INDEX(Comparativo!$B$6:$B$32,MATCH(LARGE(Comparativo!$O$6:$O$32,A38),Comparativo!$O$6:$O$32,0)),"")</f>
        <v/>
      </c>
      <c r="D38" s="32">
        <f>IFERROR(INDEX(Comparativo!$I$6:$I$32,MATCH(LARGE(Comparativo!$O$6:$O$32,A38),Comparativo!$O$6:$O$32,0)),"")</f>
        <v/>
      </c>
      <c r="E38" s="32">
        <f>IFERROR(INDEX(Comparativo!$J$6:$J$32,MATCH(LARGE(Comparativo!$O$6:$O$32,A38),Comparativo!$O$6:$O$32,0)),"")</f>
        <v/>
      </c>
      <c r="F38" s="32">
        <f>IFERROR(INDEX(Comparativo!$K$6:$K$32,MATCH(LARGE(Comparativo!$O$6:$O$32,A38),Comparativo!$O$6:$O$32,0)),"")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7">
        <f>SUM(F6:F32)</f>
        <v/>
      </c>
      <c r="G33" s="17">
        <f>SUM(G6:G32)</f>
        <v/>
      </c>
      <c r="H33" s="17">
        <f>SUM(H6:H32)</f>
        <v/>
      </c>
      <c r="I33" s="17">
        <f>SUM(I6:I32)</f>
        <v/>
      </c>
      <c r="J33" s="17">
        <f>SUM(J6:J32)</f>
        <v/>
      </c>
      <c r="K33" s="17">
        <f>SUM(K6:K32)</f>
        <v/>
      </c>
      <c r="L33" s="53">
        <f>IFERROR(K33/I33,"")</f>
        <v/>
      </c>
      <c r="M33" s="53">
        <f>IFERROR(J33/I33,"")</f>
        <v/>
      </c>
      <c r="N33" s="16" t="n"/>
    </row>
  </sheetData>
  <autoFilter ref="A5:N32"/>
  <mergeCells count="2">
    <mergeCell ref="A2:N2"/>
    <mergeCell ref="A1:N1"/>
  </mergeCells>
  <conditionalFormatting sqref="H6:H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TI-D14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AnyDesk</t>
        </is>
      </c>
      <c r="E30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TI-D09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Bonificação do time</t>
        </is>
      </c>
      <c r="E31" s="48" t="inlineStr">
        <is>
          <t>Cumprimento de prazos e participação em projetos — CONFIRMAR se houve parcela no 1º quadrimestre</t>
        </is>
      </c>
      <c r="F31" s="47" t="inlineStr"/>
      <c r="G31" s="47" t="inlineStr">
        <is>
          <t>Prêmios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2400</v>
      </c>
      <c r="P31" s="49" t="n">
        <v>0</v>
      </c>
      <c r="Q31" s="49" t="n">
        <v>0</v>
      </c>
      <c r="R31" s="49" t="n">
        <v>0</v>
      </c>
      <c r="S31" s="49" t="n">
        <v>3600</v>
      </c>
      <c r="T31" s="54">
        <f>SUM(H31:S31)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6" t="n"/>
      <c r="G32" s="16" t="n"/>
      <c r="H32" s="17">
        <f>SUM(H5:H31)</f>
        <v/>
      </c>
      <c r="I32" s="17">
        <f>SUM(I5:I31)</f>
        <v/>
      </c>
      <c r="J32" s="17">
        <f>SUM(J5:J31)</f>
        <v/>
      </c>
      <c r="K32" s="17">
        <f>SUM(K5:K31)</f>
        <v/>
      </c>
      <c r="L32" s="17">
        <f>SUM(L5:L31)</f>
        <v/>
      </c>
      <c r="M32" s="17">
        <f>SUM(M5:M31)</f>
        <v/>
      </c>
      <c r="N32" s="17">
        <f>SUM(N5:N31)</f>
        <v/>
      </c>
      <c r="O32" s="17">
        <f>SUM(O5:O31)</f>
        <v/>
      </c>
      <c r="P32" s="17">
        <f>SUM(P5:P31)</f>
        <v/>
      </c>
      <c r="Q32" s="17">
        <f>SUM(Q5:Q31)</f>
        <v/>
      </c>
      <c r="R32" s="17">
        <f>SUM(R5:R31)</f>
        <v/>
      </c>
      <c r="S32" s="17">
        <f>SUM(S5:S31)</f>
        <v/>
      </c>
      <c r="T32" s="17">
        <f>SUM(T5:T31)</f>
        <v/>
      </c>
    </row>
  </sheetData>
  <autoFilter ref="A4:T3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>
      <c r="A32" s="60" t="inlineStr">
        <is>
          <t>TOTAL GERAL</t>
        </is>
      </c>
      <c r="B32" s="60" t="n"/>
      <c r="C32" s="60" t="n"/>
      <c r="D32" s="60" t="n"/>
      <c r="E32" s="60" t="n"/>
      <c r="F32" s="60" t="n"/>
      <c r="G32" s="60" t="n"/>
      <c r="H32" s="61">
        <f>SUM(H5:H31)</f>
        <v/>
      </c>
      <c r="I32" s="61">
        <f>SUM(I5:I31)</f>
        <v/>
      </c>
      <c r="J32" s="61">
        <f>SUM(J5:J31)</f>
        <v/>
      </c>
      <c r="K32" s="61">
        <f>SUM(K5:K31)</f>
        <v/>
      </c>
      <c r="L32" s="61">
        <f>SUM(L5:L31)</f>
        <v/>
      </c>
      <c r="M32" s="61">
        <f>SUM(M5:M31)</f>
        <v/>
      </c>
      <c r="N32" s="61">
        <f>SUM(N5:N31)</f>
        <v/>
      </c>
      <c r="O32" s="61">
        <f>SUM(O5:O31)</f>
        <v/>
      </c>
      <c r="P32" s="61">
        <f>SUM(P5:P31)</f>
        <v/>
      </c>
      <c r="Q32" s="61">
        <f>SUM(Q5:Q31)</f>
        <v/>
      </c>
      <c r="R32" s="61">
        <f>SUM(R5:R31)</f>
        <v/>
      </c>
      <c r="S32" s="61">
        <f>SUM(S5:S31)</f>
        <v/>
      </c>
      <c r="T32" s="61">
        <f>SUM(T5:T31)</f>
        <v/>
      </c>
      <c r="U32" s="60" t="n"/>
      <c r="V32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SUMIFS(Planejado!$H$5:$H$31,Planejado!$B$5:$B$31,"Jurídico")</f>
        <v/>
      </c>
      <c r="C5" s="42">
        <f>SUMIFS(Realizado!$H$5:$H$31,Realizado!$B$5:$B$31,"Jurídico")</f>
        <v/>
      </c>
      <c r="D5" s="42">
        <f>SUMIFS(Planejado!$H$5:$H$31,Planejado!$B$5:$B$31,"TI")</f>
        <v/>
      </c>
      <c r="E5" s="42">
        <f>SUMIFS(Realizado!$H$5:$H$31,Realizado!$B$5:$B$31,"TI")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SUMIFS(Planejado!$I$5:$I$31,Planejado!$B$5:$B$31,"Jurídico")</f>
        <v/>
      </c>
      <c r="C6" s="49">
        <f>SUMIFS(Realizado!$I$5:$I$31,Realizado!$B$5:$B$31,"Jurídico")</f>
        <v/>
      </c>
      <c r="D6" s="49">
        <f>SUMIFS(Planejado!$I$5:$I$31,Planejado!$B$5:$B$31,"TI")</f>
        <v/>
      </c>
      <c r="E6" s="49">
        <f>SUMIFS(Realizado!$I$5:$I$31,Realizado!$B$5:$B$31,"TI")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SUMIFS(Planejado!$J$5:$J$31,Planejado!$B$5:$B$31,"Jurídico")</f>
        <v/>
      </c>
      <c r="C7" s="42">
        <f>SUMIFS(Realizado!$J$5:$J$31,Realizado!$B$5:$B$31,"Jurídico")</f>
        <v/>
      </c>
      <c r="D7" s="42">
        <f>SUMIFS(Planejado!$J$5:$J$31,Planejado!$B$5:$B$31,"TI")</f>
        <v/>
      </c>
      <c r="E7" s="42">
        <f>SUMIFS(Realizado!$J$5:$J$31,Realizado!$B$5:$B$31,"TI")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SUMIFS(Planejado!$K$5:$K$31,Planejado!$B$5:$B$31,"Jurídico")</f>
        <v/>
      </c>
      <c r="C8" s="49">
        <f>SUMIFS(Realizado!$K$5:$K$31,Realizado!$B$5:$B$31,"Jurídico")</f>
        <v/>
      </c>
      <c r="D8" s="49">
        <f>SUMIFS(Planejado!$K$5:$K$31,Planejado!$B$5:$B$31,"TI")</f>
        <v/>
      </c>
      <c r="E8" s="49">
        <f>SUMIFS(Realizado!$K$5:$K$31,Realizado!$B$5:$B$31,"TI")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SUMIFS(Planejado!$L$5:$L$31,Planejado!$B$5:$B$31,"Jurídico")</f>
        <v/>
      </c>
      <c r="C9" s="42">
        <f>SUMIFS(Realizado!$L$5:$L$31,Realizado!$B$5:$B$31,"Jurídico")</f>
        <v/>
      </c>
      <c r="D9" s="42">
        <f>SUMIFS(Planejado!$L$5:$L$31,Planejado!$B$5:$B$31,"TI")</f>
        <v/>
      </c>
      <c r="E9" s="42">
        <f>SUMIFS(Realizado!$L$5:$L$31,Realizado!$B$5:$B$31,"TI")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SUMIFS(Planejado!$M$5:$M$31,Planejado!$B$5:$B$31,"Jurídico")</f>
        <v/>
      </c>
      <c r="C10" s="49">
        <f>SUMIFS(Realizado!$M$5:$M$31,Realizado!$B$5:$B$31,"Jurídico")</f>
        <v/>
      </c>
      <c r="D10" s="49">
        <f>SUMIFS(Planejado!$M$5:$M$31,Planejado!$B$5:$B$31,"TI")</f>
        <v/>
      </c>
      <c r="E10" s="49">
        <f>SUMIFS(Realizado!$M$5:$M$31,Realizado!$B$5:$B$31,"TI")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SUMIFS(Planejado!$N$5:$N$31,Planejado!$B$5:$B$31,"Jurídico")</f>
        <v/>
      </c>
      <c r="C11" s="42">
        <f>SUMIFS(Realizado!$N$5:$N$31,Realizado!$B$5:$B$31,"Jurídico")</f>
        <v/>
      </c>
      <c r="D11" s="42">
        <f>SUMIFS(Planejado!$N$5:$N$31,Planejado!$B$5:$B$31,"TI")</f>
        <v/>
      </c>
      <c r="E11" s="42">
        <f>SUMIFS(Realizado!$N$5:$N$31,Realizado!$B$5:$B$31,"TI")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SUMIFS(Planejado!$O$5:$O$31,Planejado!$B$5:$B$31,"Jurídico")</f>
        <v/>
      </c>
      <c r="C12" s="49">
        <f>SUMIFS(Realizado!$O$5:$O$31,Realizado!$B$5:$B$31,"Jurídico")</f>
        <v/>
      </c>
      <c r="D12" s="49">
        <f>SUMIFS(Planejado!$O$5:$O$31,Planejado!$B$5:$B$31,"TI")</f>
        <v/>
      </c>
      <c r="E12" s="49">
        <f>SUMIFS(Realizado!$O$5:$O$31,Realizado!$B$5:$B$31,"TI")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SUMIFS(Planejado!$P$5:$P$31,Planejado!$B$5:$B$31,"Jurídico")</f>
        <v/>
      </c>
      <c r="C13" s="42">
        <f>SUMIFS(Realizado!$P$5:$P$31,Realizado!$B$5:$B$31,"Jurídico")</f>
        <v/>
      </c>
      <c r="D13" s="42">
        <f>SUMIFS(Planejado!$P$5:$P$31,Planejado!$B$5:$B$31,"TI")</f>
        <v/>
      </c>
      <c r="E13" s="42">
        <f>SUMIFS(Realizado!$P$5:$P$31,Realizado!$B$5:$B$31,"TI")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SUMIFS(Planejado!$Q$5:$Q$31,Planejado!$B$5:$B$31,"Jurídico")</f>
        <v/>
      </c>
      <c r="C14" s="49">
        <f>SUMIFS(Realizado!$Q$5:$Q$31,Realizado!$B$5:$B$31,"Jurídico")</f>
        <v/>
      </c>
      <c r="D14" s="49">
        <f>SUMIFS(Planejado!$Q$5:$Q$31,Planejado!$B$5:$B$31,"TI")</f>
        <v/>
      </c>
      <c r="E14" s="49">
        <f>SUMIFS(Realizado!$Q$5:$Q$31,Realizado!$B$5:$B$31,"TI")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SUMIFS(Planejado!$R$5:$R$31,Planejado!$B$5:$B$31,"Jurídico")</f>
        <v/>
      </c>
      <c r="C15" s="42">
        <f>SUMIFS(Realizado!$R$5:$R$31,Realizado!$B$5:$B$31,"Jurídico")</f>
        <v/>
      </c>
      <c r="D15" s="42">
        <f>SUMIFS(Planejado!$R$5:$R$31,Planejado!$B$5:$B$31,"TI")</f>
        <v/>
      </c>
      <c r="E15" s="42">
        <f>SUMIFS(Realizado!$R$5:$R$31,Realizado!$B$5:$B$31,"TI")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SUMIFS(Planejado!$S$5:$S$31,Planejado!$B$5:$B$31,"Jurídico")</f>
        <v/>
      </c>
      <c r="C16" s="49">
        <f>SUMIFS(Realizado!$S$5:$S$31,Realizado!$B$5:$B$31,"Jurídico")</f>
        <v/>
      </c>
      <c r="D16" s="49">
        <f>SUMIFS(Planejado!$S$5:$S$31,Planejado!$B$5:$B$31,"TI")</f>
        <v/>
      </c>
      <c r="E16" s="49">
        <f>SUMIFS(Realizado!$S$5:$S$31,Realizado!$B$5:$B$31,"TI")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SUMIFS(Comparativo!$I$6:$I$32,Comparativo!$E$6:$E$32,$A5,Comparativo!$B$6:$B$32,"Jurídico")</f>
        <v/>
      </c>
      <c r="C5" s="42">
        <f>SUMIFS(Comparativo!$J$6:$J$32,Comparativo!$E$6:$E$32,$A5,Comparativo!$B$6:$B$32,"Jurídico")</f>
        <v/>
      </c>
      <c r="D5" s="42">
        <f>SUMIFS(Comparativo!$I$6:$I$32,Comparativo!$E$6:$E$32,$A5,Comparativo!$B$6:$B$32,"TI")</f>
        <v/>
      </c>
      <c r="E5" s="42">
        <f>SUMIFS(Comparativo!$J$6:$J$32,Comparativo!$E$6:$E$32,$A5,Comparativo!$B$6:$B$32,"TI")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SUMIFS(Planejado!$T$5:$T$31,Planejado!$G$5:$G$31,$A5)</f>
        <v/>
      </c>
    </row>
    <row r="6" ht="20" customHeight="1">
      <c r="A6" s="66" t="inlineStr">
        <is>
          <t>Pessoal - PJ</t>
        </is>
      </c>
      <c r="B6" s="49">
        <f>SUMIFS(Comparativo!$I$6:$I$32,Comparativo!$E$6:$E$32,$A6,Comparativo!$B$6:$B$32,"Jurídico")</f>
        <v/>
      </c>
      <c r="C6" s="49">
        <f>SUMIFS(Comparativo!$J$6:$J$32,Comparativo!$E$6:$E$32,$A6,Comparativo!$B$6:$B$32,"Jurídico")</f>
        <v/>
      </c>
      <c r="D6" s="49">
        <f>SUMIFS(Comparativo!$I$6:$I$32,Comparativo!$E$6:$E$32,$A6,Comparativo!$B$6:$B$32,"TI")</f>
        <v/>
      </c>
      <c r="E6" s="49">
        <f>SUMIFS(Comparativo!$J$6:$J$32,Comparativo!$E$6:$E$32,$A6,Comparativo!$B$6:$B$32,"TI")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SUMIFS(Planejado!$T$5:$T$31,Planejado!$G$5:$G$31,$A6)</f>
        <v/>
      </c>
    </row>
    <row r="7" ht="20" customHeight="1">
      <c r="A7" s="64" t="inlineStr">
        <is>
          <t>Licenças de Softwares</t>
        </is>
      </c>
      <c r="B7" s="42">
        <f>SUMIFS(Comparativo!$I$6:$I$32,Comparativo!$E$6:$E$32,$A7,Comparativo!$B$6:$B$32,"Jurídico")</f>
        <v/>
      </c>
      <c r="C7" s="42">
        <f>SUMIFS(Comparativo!$J$6:$J$32,Comparativo!$E$6:$E$32,$A7,Comparativo!$B$6:$B$32,"Jurídico")</f>
        <v/>
      </c>
      <c r="D7" s="42">
        <f>SUMIFS(Comparativo!$I$6:$I$32,Comparativo!$E$6:$E$32,$A7,Comparativo!$B$6:$B$32,"TI")</f>
        <v/>
      </c>
      <c r="E7" s="42">
        <f>SUMIFS(Comparativo!$J$6:$J$32,Comparativo!$E$6:$E$32,$A7,Comparativo!$B$6:$B$32,"TI")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SUMIFS(Planejado!$T$5:$T$31,Planejado!$G$5:$G$31,$A7)</f>
        <v/>
      </c>
    </row>
    <row r="8" ht="20" customHeight="1">
      <c r="A8" s="66" t="inlineStr">
        <is>
          <t>Custeio de Treinamento</t>
        </is>
      </c>
      <c r="B8" s="49">
        <f>SUMIFS(Comparativo!$I$6:$I$32,Comparativo!$E$6:$E$32,$A8,Comparativo!$B$6:$B$32,"Jurídico")</f>
        <v/>
      </c>
      <c r="C8" s="49">
        <f>SUMIFS(Comparativo!$J$6:$J$32,Comparativo!$E$6:$E$32,$A8,Comparativo!$B$6:$B$32,"Jurídico")</f>
        <v/>
      </c>
      <c r="D8" s="49">
        <f>SUMIFS(Comparativo!$I$6:$I$32,Comparativo!$E$6:$E$32,$A8,Comparativo!$B$6:$B$32,"TI")</f>
        <v/>
      </c>
      <c r="E8" s="49">
        <f>SUMIFS(Comparativo!$J$6:$J$32,Comparativo!$E$6:$E$32,$A8,Comparativo!$B$6:$B$32,"TI")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SUMIFS(Planejado!$T$5:$T$31,Planejado!$G$5:$G$31,$A8)</f>
        <v/>
      </c>
    </row>
    <row r="9" ht="20" customHeight="1">
      <c r="A9" s="64" t="inlineStr">
        <is>
          <t>Prêmios</t>
        </is>
      </c>
      <c r="B9" s="42">
        <f>SUMIFS(Comparativo!$I$6:$I$32,Comparativo!$E$6:$E$32,$A9,Comparativo!$B$6:$B$32,"Jurídico")</f>
        <v/>
      </c>
      <c r="C9" s="42">
        <f>SUMIFS(Comparativo!$J$6:$J$32,Comparativo!$E$6:$E$32,$A9,Comparativo!$B$6:$B$32,"Jurídico")</f>
        <v/>
      </c>
      <c r="D9" s="42">
        <f>SUMIFS(Comparativo!$I$6:$I$32,Comparativo!$E$6:$E$32,$A9,Comparativo!$B$6:$B$32,"TI")</f>
        <v/>
      </c>
      <c r="E9" s="42">
        <f>SUMIFS(Comparativo!$J$6:$J$32,Comparativo!$E$6:$E$32,$A9,Comparativo!$B$6:$B$32,"TI")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SUMIFS(Planejado!$T$5:$T$31,Planejado!$G$5:$G$31,$A9)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SUMIFS(Comparativo!$I$6:$I$32,Comparativo!$E$6:$E$32,$A10,Comparativo!$B$6:$B$32,"Jurídico")</f>
        <v/>
      </c>
      <c r="C10" s="49">
        <f>SUMIFS(Comparativo!$J$6:$J$32,Comparativo!$E$6:$E$32,$A10,Comparativo!$B$6:$B$32,"Jurídico")</f>
        <v/>
      </c>
      <c r="D10" s="49">
        <f>SUMIFS(Comparativo!$I$6:$I$32,Comparativo!$E$6:$E$32,$A10,Comparativo!$B$6:$B$32,"TI")</f>
        <v/>
      </c>
      <c r="E10" s="49">
        <f>SUMIFS(Comparativo!$J$6:$J$32,Comparativo!$E$6:$E$32,$A10,Comparativo!$B$6:$B$32,"TI")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SUMIFS(Planejado!$T$5:$T$31,Planejado!$G$5:$G$31,$A10)</f>
        <v/>
      </c>
    </row>
    <row r="11" ht="20" customHeight="1">
      <c r="A11" s="64" t="inlineStr">
        <is>
          <t>Móveis e Utensílios</t>
        </is>
      </c>
      <c r="B11" s="42">
        <f>SUMIFS(Comparativo!$I$6:$I$32,Comparativo!$E$6:$E$32,$A11,Comparativo!$B$6:$B$32,"Jurídico")</f>
        <v/>
      </c>
      <c r="C11" s="42">
        <f>SUMIFS(Comparativo!$J$6:$J$32,Comparativo!$E$6:$E$32,$A11,Comparativo!$B$6:$B$32,"Jurídico")</f>
        <v/>
      </c>
      <c r="D11" s="42">
        <f>SUMIFS(Comparativo!$I$6:$I$32,Comparativo!$E$6:$E$32,$A11,Comparativo!$B$6:$B$32,"TI")</f>
        <v/>
      </c>
      <c r="E11" s="42">
        <f>SUMIFS(Comparativo!$J$6:$J$32,Comparativo!$E$6:$E$32,$A11,Comparativo!$B$6:$B$32,"TI")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SUMIFS(Planejado!$T$5:$T$31,Planejado!$G$5:$G$31,$A11)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— sem custo até jul, renegociado para set</t>
        </is>
      </c>
      <c r="C11" s="69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1" s="69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1" s="69" t="inlineStr">
        <is>
          <t>Cristiane</t>
        </is>
      </c>
      <c r="F11" s="73" t="inlineStr">
        <is>
          <t>RESOLVIDO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V</t>
        </is>
      </c>
      <c r="B31" s="69" t="inlineStr">
        <is>
          <t>AnyDesk — contratação prevista, definir valor</t>
        </is>
      </c>
      <c r="C31" s="69" t="inlineStr">
        <is>
          <t>Licença de acesso remoto que será contratada e não constava na ficha. Linha criada com planejado zerado, à espera do valor e do mês de início.</t>
        </is>
      </c>
      <c r="D31" s="69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31" s="69" t="inlineStr">
        <is>
          <t>Cristiane</t>
        </is>
      </c>
      <c r="F31" s="74" t="inlineStr">
        <is>
          <t>DEFINIR VALOR</t>
        </is>
      </c>
    </row>
    <row r="32" ht="58" customHeight="1">
      <c r="A32" s="71" t="inlineStr">
        <is>
          <t>W</t>
        </is>
      </c>
      <c r="B32" s="72" t="inlineStr">
        <is>
          <t>Vitor (diretoria) — Claude ou GPT? PERGUNTAR</t>
        </is>
      </c>
      <c r="C32" s="7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2" s="7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2" s="72" t="inlineStr">
        <is>
          <t>Cristiane + Vitor</t>
        </is>
      </c>
      <c r="F32" s="74" t="inlineStr">
        <is>
          <t>PERGUNTAR</t>
        </is>
      </c>
    </row>
    <row r="33" ht="58" customHeight="1">
      <c r="A33" s="68" t="inlineStr">
        <is>
          <t>X</t>
        </is>
      </c>
      <c r="B33" s="69" t="inlineStr">
        <is>
          <t>Mapa de licenças de IA — quem usa o quê</t>
        </is>
      </c>
      <c r="C33" s="69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3" s="69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3" s="69" t="inlineStr">
        <is>
          <t>Cristiane + Vitor</t>
        </is>
      </c>
      <c r="F33" s="74" t="inlineStr">
        <is>
          <t>LEVANTAR</t>
        </is>
      </c>
    </row>
    <row r="34" ht="58" customHeight="1">
      <c r="A34" s="71" t="inlineStr">
        <is>
          <t>Y</t>
        </is>
      </c>
      <c r="B34" s="72" t="inlineStr">
        <is>
          <t>Divisão de responsabilidades no acompanhamento</t>
        </is>
      </c>
      <c r="C34" s="72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4" s="72" t="inlineStr">
        <is>
          <t>VINICIUS (todo o recorrente): extração mensal do SIENGE e lançamento do realizado, controle de equipamentos (solicitações, empréstimos, troca 1x1), acompanhamento do saldo por área para avisar antes do estouro, conferência de faturas contra contrato.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4" s="72" t="inlineStr">
        <is>
          <t>Cristiane</t>
        </is>
      </c>
      <c r="F34" s="73" t="inlineStr">
        <is>
          <t>APLICADO</t>
        </is>
      </c>
    </row>
    <row r="35" ht="58" customHeight="1">
      <c r="A35" s="68" t="inlineStr">
        <is>
          <t>6</t>
        </is>
      </c>
      <c r="B35" s="69" t="inlineStr">
        <is>
          <t>Office 365 — CONFIRMAR se R$ 440 é por licença ou o total</t>
        </is>
      </c>
      <c r="C35" s="69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5" s="69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5" s="69" t="inlineStr">
        <is>
          <t>Cristiane</t>
        </is>
      </c>
      <c r="F35" s="74" t="inlineStr">
        <is>
          <t>CONFIRMAR</t>
        </is>
      </c>
    </row>
    <row r="36" ht="58" customHeight="1">
      <c r="A36" s="71" t="inlineStr">
        <is>
          <t>7</t>
        </is>
      </c>
      <c r="B36" s="72" t="inlineStr">
        <is>
          <t>Competência x caixa — DECIDIR O REGIME</t>
        </is>
      </c>
      <c r="C36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6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6" s="72" t="inlineStr">
        <is>
          <t>Cristiane + Financeiro</t>
        </is>
      </c>
      <c r="F36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2026-08-06T19:06:20Z</dcterms:created>
  <dcterms:modified xsi:type="dcterms:W3CDTF">2026-08-06T19:06:20Z</dcterms:modified>
</cp:coreProperties>
</file>