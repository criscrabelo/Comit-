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'Comparativo'!$A$5:$N$30</definedName>
    <definedName name="_xlnm._FilterDatabase" localSheetId="2" hidden="1">'Planejado'!$A$4:$T$29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SUMIFS(Planejado!$T$5:$T$29,Planejado!$B$5:$B$29,"Jurídico",Planejado!$C$5:$C$29,"Equipe")</f>
        <v/>
      </c>
      <c r="D6" s="9">
        <f>SUMIFS(Comparativo!$I$6:$I$30,Comparativo!$B$6:$B$30,"Jurídico",Comparativo!$C$6:$C$30,"Equipe")</f>
        <v/>
      </c>
      <c r="E6" s="9">
        <f>SUMIFS(Comparativo!$J$6:$J$30,Comparativo!$B$6:$B$30,"Jurídico",Comparativo!$C$6:$C$30,"Equipe")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COUNTIFS(Comparativo!$P$6:$P$30,"&gt;0",Comparativo!$B$6:$B$30,"Jurídico",Comparativo!$C$6:$C$30,"Equipe")&amp;" de "&amp;COUNTIFS(Comparativo!$A$6:$A$30,"?*",Comparativo!$B$6:$B$30,"Jurídico",Comparativo!$C$6:$C$30,"Equipe")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SUMIFS(Planejado!$T$5:$T$29,Planejado!$B$5:$B$29,"Jurídico",Planejado!$C$5:$C$29,"Despesas")</f>
        <v/>
      </c>
      <c r="D7" s="9">
        <f>SUMIFS(Comparativo!$I$6:$I$30,Comparativo!$B$6:$B$30,"Jurídico",Comparativo!$C$6:$C$30,"Despesas")</f>
        <v/>
      </c>
      <c r="E7" s="9">
        <f>SUMIFS(Comparativo!$J$6:$J$30,Comparativo!$B$6:$B$30,"Jurídico",Comparativo!$C$6:$C$30,"Despesas")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COUNTIFS(Comparativo!$P$6:$P$30,"&gt;0",Comparativo!$B$6:$B$30,"Jurídico",Comparativo!$C$6:$C$30,"Despesas")&amp;" de "&amp;COUNTIFS(Comparativo!$A$6:$A$30,"?*",Comparativo!$B$6:$B$30,"Jurídico",Comparativo!$C$6:$C$30,"Despesas")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SUMIFS(Planejado!$T$5:$T$29,Planejado!$B$5:$B$29,"Jurídico")</f>
        <v/>
      </c>
      <c r="D8" s="13">
        <f>SUMIFS(Comparativo!$I$6:$I$30,Comparativo!$B$6:$B$30,"Jurídico")</f>
        <v/>
      </c>
      <c r="E8" s="13">
        <f>SUMIFS(Comparativo!$J$6:$J$30,Comparativo!$B$6:$B$30,"Jurídico")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COUNTIFS(Comparativo!$P$6:$P$30,"&gt;0",Comparativo!$B$6:$B$30,"Jurídico")&amp;" de "&amp;COUNTIFS(Comparativo!$A$6:$A$30,"?*",Comparativo!$B$6:$B$30,"Jurídico")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SUMIFS(Planejado!$T$5:$T$29,Planejado!$B$5:$B$29,"TI",Planejado!$C$5:$C$29,"Equipe")</f>
        <v/>
      </c>
      <c r="D9" s="9">
        <f>SUMIFS(Comparativo!$I$6:$I$30,Comparativo!$B$6:$B$30,"TI",Comparativo!$C$6:$C$30,"Equipe")</f>
        <v/>
      </c>
      <c r="E9" s="9">
        <f>SUMIFS(Comparativo!$J$6:$J$30,Comparativo!$B$6:$B$30,"TI",Comparativo!$C$6:$C$30,"Equipe")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COUNTIFS(Comparativo!$P$6:$P$30,"&gt;0",Comparativo!$B$6:$B$30,"TI",Comparativo!$C$6:$C$30,"Equipe")&amp;" de "&amp;COUNTIFS(Comparativo!$A$6:$A$30,"?*",Comparativo!$B$6:$B$30,"TI",Comparativo!$C$6:$C$30,"Equipe")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SUMIFS(Planejado!$T$5:$T$29,Planejado!$B$5:$B$29,"TI",Planejado!$C$5:$C$29,"Despesas")</f>
        <v/>
      </c>
      <c r="D10" s="9">
        <f>SUMIFS(Comparativo!$I$6:$I$30,Comparativo!$B$6:$B$30,"TI",Comparativo!$C$6:$C$30,"Despesas")</f>
        <v/>
      </c>
      <c r="E10" s="9">
        <f>SUMIFS(Comparativo!$J$6:$J$30,Comparativo!$B$6:$B$30,"TI",Comparativo!$C$6:$C$30,"Despesas")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COUNTIFS(Comparativo!$P$6:$P$30,"&gt;0",Comparativo!$B$6:$B$30,"TI",Comparativo!$C$6:$C$30,"Despesas")&amp;" de "&amp;COUNTIFS(Comparativo!$A$6:$A$30,"?*",Comparativo!$B$6:$B$30,"TI",Comparativo!$C$6:$C$30,"Despesas")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SUMIFS(Planejado!$T$5:$T$29,Planejado!$B$5:$B$29,"TI")</f>
        <v/>
      </c>
      <c r="D11" s="13">
        <f>SUMIFS(Comparativo!$I$6:$I$30,Comparativo!$B$6:$B$30,"TI")</f>
        <v/>
      </c>
      <c r="E11" s="13">
        <f>SUMIFS(Comparativo!$J$6:$J$30,Comparativo!$B$6:$B$30,"TI")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COUNTIFS(Comparativo!$P$6:$P$30,"&gt;0",Comparativo!$B$6:$B$30,"TI")&amp;" de "&amp;COUNTIFS(Comparativo!$A$6:$A$30,"?*",Comparativo!$B$6:$B$30,"TI")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SUM(Planejado!$T$5:$T$29)</f>
        <v/>
      </c>
      <c r="D12" s="17">
        <f>SUM(Comparativo!$I$6:$I$30)</f>
        <v/>
      </c>
      <c r="E12" s="17">
        <f>SUM(Comparativo!$J$6:$J$30)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COUNTIFS(Comparativo!$P$6:$P$30,"&gt;0")&amp;" de "&amp;COUNTA(Comparativo!$A$6:$A$30)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-SUMIF(Comparativo!$Q$6:$Q$30,"&lt;0")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-SUMIF(Comparativo!$Q$6:$Q$30,"&gt;0")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-SUM(Comparativo!$Q$6:$Q$30)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IFERROR(-SUM(Comparativo!$Q$6:$Q$30)/Comparativo!$D$3*12,"")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IFERROR(-SUM(Comparativo!$Q$6:$Q$30)/SUM(Comparativo!$S$6:$S$30),"")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IFERROR(INDEX(Comparativo!$D$6:$D$30,MATCH(LARGE(Comparativo!$R$6:$R$30,A25),Comparativo!$R$6:$R$30,0)),"")</f>
        <v/>
      </c>
      <c r="C25" s="31">
        <f>IFERROR(INDEX(Comparativo!$B$6:$B$30,MATCH(LARGE(Comparativo!$R$6:$R$30,A25),Comparativo!$R$6:$R$30,0)),"")</f>
        <v/>
      </c>
      <c r="D25" s="32">
        <f>IFERROR(INDEX(Comparativo!$I$6:$I$30,MATCH(LARGE(Comparativo!$R$6:$R$30,A25),Comparativo!$R$6:$R$30,0)),"")</f>
        <v/>
      </c>
      <c r="E25" s="32">
        <f>IFERROR(INDEX(Comparativo!$J$6:$J$30,MATCH(LARGE(Comparativo!$R$6:$R$30,A25),Comparativo!$R$6:$R$30,0)),"")</f>
        <v/>
      </c>
      <c r="F25" s="33">
        <f>IFERROR(-IFERROR(INDEX(Comparativo!$K$6:$K$30,MATCH(LARGE(Comparativo!$R$6:$R$30,A25),Comparativo!$R$6:$R$30,0)),""),"")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IFERROR(INDEX(Comparativo!$D$6:$D$30,MATCH(LARGE(Comparativo!$R$6:$R$30,A26),Comparativo!$R$6:$R$30,0)),"")</f>
        <v/>
      </c>
      <c r="C26" s="31">
        <f>IFERROR(INDEX(Comparativo!$B$6:$B$30,MATCH(LARGE(Comparativo!$R$6:$R$30,A26),Comparativo!$R$6:$R$30,0)),"")</f>
        <v/>
      </c>
      <c r="D26" s="32">
        <f>IFERROR(INDEX(Comparativo!$I$6:$I$30,MATCH(LARGE(Comparativo!$R$6:$R$30,A26),Comparativo!$R$6:$R$30,0)),"")</f>
        <v/>
      </c>
      <c r="E26" s="32">
        <f>IFERROR(INDEX(Comparativo!$J$6:$J$30,MATCH(LARGE(Comparativo!$R$6:$R$30,A26),Comparativo!$R$6:$R$30,0)),"")</f>
        <v/>
      </c>
      <c r="F26" s="33">
        <f>IFERROR(-IFERROR(INDEX(Comparativo!$K$6:$K$30,MATCH(LARGE(Comparativo!$R$6:$R$30,A26),Comparativo!$R$6:$R$30,0)),""),"")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IFERROR(INDEX(Comparativo!$D$6:$D$30,MATCH(LARGE(Comparativo!$R$6:$R$30,A27),Comparativo!$R$6:$R$30,0)),"")</f>
        <v/>
      </c>
      <c r="C27" s="31">
        <f>IFERROR(INDEX(Comparativo!$B$6:$B$30,MATCH(LARGE(Comparativo!$R$6:$R$30,A27),Comparativo!$R$6:$R$30,0)),"")</f>
        <v/>
      </c>
      <c r="D27" s="32">
        <f>IFERROR(INDEX(Comparativo!$I$6:$I$30,MATCH(LARGE(Comparativo!$R$6:$R$30,A27),Comparativo!$R$6:$R$30,0)),"")</f>
        <v/>
      </c>
      <c r="E27" s="32">
        <f>IFERROR(INDEX(Comparativo!$J$6:$J$30,MATCH(LARGE(Comparativo!$R$6:$R$30,A27),Comparativo!$R$6:$R$30,0)),"")</f>
        <v/>
      </c>
      <c r="F27" s="33">
        <f>IFERROR(-IFERROR(INDEX(Comparativo!$K$6:$K$30,MATCH(LARGE(Comparativo!$R$6:$R$30,A27),Comparativo!$R$6:$R$30,0)),""),"")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IFERROR(INDEX(Comparativo!$D$6:$D$30,MATCH(LARGE(Comparativo!$R$6:$R$30,A28),Comparativo!$R$6:$R$30,0)),"")</f>
        <v/>
      </c>
      <c r="C28" s="31">
        <f>IFERROR(INDEX(Comparativo!$B$6:$B$30,MATCH(LARGE(Comparativo!$R$6:$R$30,A28),Comparativo!$R$6:$R$30,0)),"")</f>
        <v/>
      </c>
      <c r="D28" s="32">
        <f>IFERROR(INDEX(Comparativo!$I$6:$I$30,MATCH(LARGE(Comparativo!$R$6:$R$30,A28),Comparativo!$R$6:$R$30,0)),"")</f>
        <v/>
      </c>
      <c r="E28" s="32">
        <f>IFERROR(INDEX(Comparativo!$J$6:$J$30,MATCH(LARGE(Comparativo!$R$6:$R$30,A28),Comparativo!$R$6:$R$30,0)),"")</f>
        <v/>
      </c>
      <c r="F28" s="33">
        <f>IFERROR(-IFERROR(INDEX(Comparativo!$K$6:$K$30,MATCH(LARGE(Comparativo!$R$6:$R$30,A28),Comparativo!$R$6:$R$30,0)),""),"")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IFERROR(INDEX(Comparativo!$D$6:$D$30,MATCH(LARGE(Comparativo!$R$6:$R$30,A29),Comparativo!$R$6:$R$30,0)),"")</f>
        <v/>
      </c>
      <c r="C29" s="31">
        <f>IFERROR(INDEX(Comparativo!$B$6:$B$30,MATCH(LARGE(Comparativo!$R$6:$R$30,A29),Comparativo!$R$6:$R$30,0)),"")</f>
        <v/>
      </c>
      <c r="D29" s="32">
        <f>IFERROR(INDEX(Comparativo!$I$6:$I$30,MATCH(LARGE(Comparativo!$R$6:$R$30,A29),Comparativo!$R$6:$R$30,0)),"")</f>
        <v/>
      </c>
      <c r="E29" s="32">
        <f>IFERROR(INDEX(Comparativo!$J$6:$J$30,MATCH(LARGE(Comparativo!$R$6:$R$30,A29),Comparativo!$R$6:$R$30,0)),"")</f>
        <v/>
      </c>
      <c r="F29" s="33">
        <f>IFERROR(-IFERROR(INDEX(Comparativo!$K$6:$K$30,MATCH(LARGE(Comparativo!$R$6:$R$30,A29),Comparativo!$R$6:$R$30,0)),""),"")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IFERROR(INDEX(Comparativo!$D$6:$D$30,MATCH(LARGE(Comparativo!$O$6:$O$30,A34),Comparativo!$O$6:$O$30,0)),"")</f>
        <v/>
      </c>
      <c r="C34" s="31">
        <f>IFERROR(INDEX(Comparativo!$B$6:$B$30,MATCH(LARGE(Comparativo!$O$6:$O$30,A34),Comparativo!$O$6:$O$30,0)),"")</f>
        <v/>
      </c>
      <c r="D34" s="32">
        <f>IFERROR(INDEX(Comparativo!$I$6:$I$30,MATCH(LARGE(Comparativo!$O$6:$O$30,A34),Comparativo!$O$6:$O$30,0)),"")</f>
        <v/>
      </c>
      <c r="E34" s="32">
        <f>IFERROR(INDEX(Comparativo!$J$6:$J$30,MATCH(LARGE(Comparativo!$O$6:$O$30,A34),Comparativo!$O$6:$O$30,0)),"")</f>
        <v/>
      </c>
      <c r="F34" s="32">
        <f>IFERROR(INDEX(Comparativo!$K$6:$K$30,MATCH(LARGE(Comparativo!$O$6:$O$30,A34),Comparativo!$O$6:$O$30,0)),"")</f>
        <v/>
      </c>
      <c r="G34" s="34">
        <f>IFERROR(F34/D34,"")</f>
        <v/>
      </c>
    </row>
    <row r="35">
      <c r="A35" s="30" t="n">
        <v>2</v>
      </c>
      <c r="B35" s="31">
        <f>IFERROR(INDEX(Comparativo!$D$6:$D$30,MATCH(LARGE(Comparativo!$O$6:$O$30,A35),Comparativo!$O$6:$O$30,0)),"")</f>
        <v/>
      </c>
      <c r="C35" s="31">
        <f>IFERROR(INDEX(Comparativo!$B$6:$B$30,MATCH(LARGE(Comparativo!$O$6:$O$30,A35),Comparativo!$O$6:$O$30,0)),"")</f>
        <v/>
      </c>
      <c r="D35" s="32">
        <f>IFERROR(INDEX(Comparativo!$I$6:$I$30,MATCH(LARGE(Comparativo!$O$6:$O$30,A35),Comparativo!$O$6:$O$30,0)),"")</f>
        <v/>
      </c>
      <c r="E35" s="32">
        <f>IFERROR(INDEX(Comparativo!$J$6:$J$30,MATCH(LARGE(Comparativo!$O$6:$O$30,A35),Comparativo!$O$6:$O$30,0)),"")</f>
        <v/>
      </c>
      <c r="F35" s="32">
        <f>IFERROR(INDEX(Comparativo!$K$6:$K$30,MATCH(LARGE(Comparativo!$O$6:$O$30,A35),Comparativo!$O$6:$O$30,0)),"")</f>
        <v/>
      </c>
      <c r="G35" s="34">
        <f>IFERROR(F35/D35,"")</f>
        <v/>
      </c>
    </row>
    <row r="36">
      <c r="A36" s="30" t="n">
        <v>3</v>
      </c>
      <c r="B36" s="31">
        <f>IFERROR(INDEX(Comparativo!$D$6:$D$30,MATCH(LARGE(Comparativo!$O$6:$O$30,A36),Comparativo!$O$6:$O$30,0)),"")</f>
        <v/>
      </c>
      <c r="C36" s="31">
        <f>IFERROR(INDEX(Comparativo!$B$6:$B$30,MATCH(LARGE(Comparativo!$O$6:$O$30,A36),Comparativo!$O$6:$O$30,0)),"")</f>
        <v/>
      </c>
      <c r="D36" s="32">
        <f>IFERROR(INDEX(Comparativo!$I$6:$I$30,MATCH(LARGE(Comparativo!$O$6:$O$30,A36),Comparativo!$O$6:$O$30,0)),"")</f>
        <v/>
      </c>
      <c r="E36" s="32">
        <f>IFERROR(INDEX(Comparativo!$J$6:$J$30,MATCH(LARGE(Comparativo!$O$6:$O$30,A36),Comparativo!$O$6:$O$30,0)),"")</f>
        <v/>
      </c>
      <c r="F36" s="32">
        <f>IFERROR(INDEX(Comparativo!$K$6:$K$30,MATCH(LARGE(Comparativo!$O$6:$O$30,A36),Comparativo!$O$6:$O$30,0)),"")</f>
        <v/>
      </c>
      <c r="G36" s="34">
        <f>IFERROR(F36/D36,"")</f>
        <v/>
      </c>
    </row>
    <row r="37">
      <c r="A37" s="30" t="n">
        <v>4</v>
      </c>
      <c r="B37" s="31">
        <f>IFERROR(INDEX(Comparativo!$D$6:$D$30,MATCH(LARGE(Comparativo!$O$6:$O$30,A37),Comparativo!$O$6:$O$30,0)),"")</f>
        <v/>
      </c>
      <c r="C37" s="31">
        <f>IFERROR(INDEX(Comparativo!$B$6:$B$30,MATCH(LARGE(Comparativo!$O$6:$O$30,A37),Comparativo!$O$6:$O$30,0)),"")</f>
        <v/>
      </c>
      <c r="D37" s="32">
        <f>IFERROR(INDEX(Comparativo!$I$6:$I$30,MATCH(LARGE(Comparativo!$O$6:$O$30,A37),Comparativo!$O$6:$O$30,0)),"")</f>
        <v/>
      </c>
      <c r="E37" s="32">
        <f>IFERROR(INDEX(Comparativo!$J$6:$J$30,MATCH(LARGE(Comparativo!$O$6:$O$30,A37),Comparativo!$O$6:$O$30,0)),"")</f>
        <v/>
      </c>
      <c r="F37" s="32">
        <f>IFERROR(INDEX(Comparativo!$K$6:$K$30,MATCH(LARGE(Comparativo!$O$6:$O$30,A37),Comparativo!$O$6:$O$30,0)),"")</f>
        <v/>
      </c>
      <c r="G37" s="34">
        <f>IFERROR(F37/D37,"")</f>
        <v/>
      </c>
    </row>
    <row r="38">
      <c r="A38" s="30" t="n">
        <v>5</v>
      </c>
      <c r="B38" s="31">
        <f>IFERROR(INDEX(Comparativo!$D$6:$D$30,MATCH(LARGE(Comparativo!$O$6:$O$30,A38),Comparativo!$O$6:$O$30,0)),"")</f>
        <v/>
      </c>
      <c r="C38" s="31">
        <f>IFERROR(INDEX(Comparativo!$B$6:$B$30,MATCH(LARGE(Comparativo!$O$6:$O$30,A38),Comparativo!$O$6:$O$30,0)),"")</f>
        <v/>
      </c>
      <c r="D38" s="32">
        <f>IFERROR(INDEX(Comparativo!$I$6:$I$30,MATCH(LARGE(Comparativo!$O$6:$O$30,A38),Comparativo!$O$6:$O$30,0)),"")</f>
        <v/>
      </c>
      <c r="E38" s="32">
        <f>IFERROR(INDEX(Comparativo!$J$6:$J$30,MATCH(LARGE(Comparativo!$O$6:$O$30,A38),Comparativo!$O$6:$O$30,0)),"")</f>
        <v/>
      </c>
      <c r="F38" s="32">
        <f>IFERROR(INDEX(Comparativo!$K$6:$K$30,MATCH(LARGE(Comparativo!$O$6:$O$30,A38),Comparativo!$O$6:$O$30,0)),"")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7">
        <f>Planejado!A14</f>
        <v/>
      </c>
      <c r="B15" s="47">
        <f>Planejado!B14</f>
        <v/>
      </c>
      <c r="C15" s="47">
        <f>Planejado!C14</f>
        <v/>
      </c>
      <c r="D15" s="48">
        <f>Planejado!D14</f>
        <v/>
      </c>
      <c r="E15" s="47">
        <f>Planejado!G14</f>
        <v/>
      </c>
      <c r="F15" s="49">
        <f>INDEX(Planejado!$H14:$S14,$D$3)</f>
        <v/>
      </c>
      <c r="G15" s="49">
        <f>INDEX(Realizado!$H14:$S14,$D$3)</f>
        <v/>
      </c>
      <c r="H15" s="49">
        <f>G15-F15</f>
        <v/>
      </c>
      <c r="I15" s="49">
        <f>SUMPRODUCT((COLUMN(Planejado!$H$4:$S$4)-COLUMN(Planejado!$H$4)+1&lt;=$D$3)*Planejado!$H14:$S14)</f>
        <v/>
      </c>
      <c r="J15" s="49">
        <f>SUMPRODUCT((COLUMN(Realizado!$H$4:$S$4)-COLUMN(Realizado!$H$4)+1&lt;=$D$3)*Realizado!$H14:$S14)</f>
        <v/>
      </c>
      <c r="K15" s="49">
        <f>J15-I15</f>
        <v/>
      </c>
      <c r="L15" s="50">
        <f>IFERROR(K15/I15,"")</f>
        <v/>
      </c>
      <c r="M15" s="50">
        <f>IFERROR(J15/I15,"")</f>
        <v/>
      </c>
      <c r="N15" s="51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52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7">
        <f>SUM(F6:F30)</f>
        <v/>
      </c>
      <c r="G31" s="17">
        <f>SUM(G6:G30)</f>
        <v/>
      </c>
      <c r="H31" s="17">
        <f>SUM(H6:H30)</f>
        <v/>
      </c>
      <c r="I31" s="17">
        <f>SUM(I6:I30)</f>
        <v/>
      </c>
      <c r="J31" s="17">
        <f>SUM(J6:J30)</f>
        <v/>
      </c>
      <c r="K31" s="17">
        <f>SUM(K6:K30)</f>
        <v/>
      </c>
      <c r="L31" s="53">
        <f>IFERROR(K31/I31,"")</f>
        <v/>
      </c>
      <c r="M31" s="53">
        <f>IFERROR(J31/I31,"")</f>
        <v/>
      </c>
      <c r="N31" s="16" t="n"/>
    </row>
  </sheetData>
  <autoFilter ref="A5:N30"/>
  <mergeCells count="2">
    <mergeCell ref="A2:N2"/>
    <mergeCell ref="A1:N1"/>
  </mergeCells>
  <conditionalFormatting sqref="H6:H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0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JUR-D01</t>
        </is>
      </c>
      <c r="B8" s="40" t="inlineStr">
        <is>
          <t>Jurídico</t>
        </is>
      </c>
      <c r="C8" s="40" t="inlineStr">
        <is>
          <t>Despesas</t>
        </is>
      </c>
      <c r="D8" s="41" t="inlineStr">
        <is>
          <t>JUSFY</t>
        </is>
      </c>
      <c r="E8" s="41" t="inlineStr">
        <is>
          <t>Fase de teste com objetivo de eliminar o Astrea</t>
        </is>
      </c>
      <c r="F8" s="40" t="inlineStr"/>
      <c r="G8" s="40" t="inlineStr">
        <is>
          <t>Licenças de Softwares</t>
        </is>
      </c>
      <c r="H8" s="42" t="n">
        <v>100</v>
      </c>
      <c r="I8" s="42" t="n">
        <v>100</v>
      </c>
      <c r="J8" s="42" t="n">
        <v>100</v>
      </c>
      <c r="K8" s="42" t="n">
        <v>100</v>
      </c>
      <c r="L8" s="42" t="n">
        <v>100</v>
      </c>
      <c r="M8" s="42" t="n">
        <v>100</v>
      </c>
      <c r="N8" s="42" t="n">
        <v>100</v>
      </c>
      <c r="O8" s="42" t="n">
        <v>100</v>
      </c>
      <c r="P8" s="42" t="n">
        <v>100</v>
      </c>
      <c r="Q8" s="42" t="n">
        <v>100</v>
      </c>
      <c r="R8" s="42" t="n">
        <v>100</v>
      </c>
      <c r="S8" s="42" t="n">
        <v>100</v>
      </c>
      <c r="T8" s="54">
        <f>SUM(H8:S8)</f>
        <v/>
      </c>
    </row>
    <row r="9" ht="26" customHeight="1">
      <c r="A9" s="40" t="inlineStr">
        <is>
          <t>JUR-D02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JUSBRASIL</t>
        </is>
      </c>
      <c r="E9" s="41" t="inlineStr">
        <is>
          <t>ORÇAMENTO VEIO ERRADO: orçado R$ 104,90/mês, custo real R$ 136,00/mês. Corrigir na revisão orçamentária</t>
        </is>
      </c>
      <c r="F9" s="40" t="inlineStr"/>
      <c r="G9" s="40" t="inlineStr">
        <is>
          <t>Licenças de Softwares</t>
        </is>
      </c>
      <c r="H9" s="42" t="n">
        <v>104.9</v>
      </c>
      <c r="I9" s="42" t="n">
        <v>104.9</v>
      </c>
      <c r="J9" s="42" t="n">
        <v>104.9</v>
      </c>
      <c r="K9" s="42" t="n">
        <v>104.9</v>
      </c>
      <c r="L9" s="42" t="n">
        <v>104.9</v>
      </c>
      <c r="M9" s="42" t="n">
        <v>104.9</v>
      </c>
      <c r="N9" s="42" t="n">
        <v>104.9</v>
      </c>
      <c r="O9" s="42" t="n">
        <v>104.9</v>
      </c>
      <c r="P9" s="42" t="n">
        <v>104.9</v>
      </c>
      <c r="Q9" s="42" t="n">
        <v>104.9</v>
      </c>
      <c r="R9" s="42" t="n">
        <v>104.9</v>
      </c>
      <c r="S9" s="42" t="n">
        <v>104.9</v>
      </c>
      <c r="T9" s="54">
        <f>SUM(H9:S9)</f>
        <v/>
      </c>
    </row>
    <row r="10" ht="26" customHeight="1">
      <c r="A10" s="40" t="inlineStr">
        <is>
          <t>JUR-D03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ASTREA</t>
        </is>
      </c>
      <c r="E10" s="41" t="inlineStr">
        <is>
          <t>ORÇAMENTO VEIO ERRADO: orçado R$ 112,07/mês, custo real R$ 346,00/mês. Corrigir na revisão orçamentária</t>
        </is>
      </c>
      <c r="F10" s="40" t="inlineStr"/>
      <c r="G10" s="40" t="inlineStr">
        <is>
          <t>Licenças de Softwares</t>
        </is>
      </c>
      <c r="H10" s="42" t="n">
        <v>112.07</v>
      </c>
      <c r="I10" s="42" t="n">
        <v>112.07</v>
      </c>
      <c r="J10" s="42" t="n">
        <v>112.07</v>
      </c>
      <c r="K10" s="42" t="n">
        <v>112.07</v>
      </c>
      <c r="L10" s="42" t="n">
        <v>112.07</v>
      </c>
      <c r="M10" s="42" t="n">
        <v>112.07</v>
      </c>
      <c r="N10" s="42" t="n">
        <v>112.07</v>
      </c>
      <c r="O10" s="42" t="n">
        <v>112.07</v>
      </c>
      <c r="P10" s="42" t="n">
        <v>112.07</v>
      </c>
      <c r="Q10" s="42" t="n">
        <v>112.07</v>
      </c>
      <c r="R10" s="42" t="n">
        <v>112.07</v>
      </c>
      <c r="S10" s="42" t="n">
        <v>112.07</v>
      </c>
      <c r="T10" s="54">
        <f>SUM(H10:S10)</f>
        <v/>
      </c>
    </row>
    <row r="11" ht="26" customHeight="1">
      <c r="A11" s="40" t="inlineStr">
        <is>
          <t>JUR-D04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LEME</t>
        </is>
      </c>
      <c r="E11" s="41" t="inlineStr"/>
      <c r="F11" s="40" t="inlineStr"/>
      <c r="G11" s="40" t="inlineStr">
        <is>
          <t>Licenças de Softwares</t>
        </is>
      </c>
      <c r="H11" s="42" t="n">
        <v>1030</v>
      </c>
      <c r="I11" s="42" t="n">
        <v>1030</v>
      </c>
      <c r="J11" s="42" t="n">
        <v>1030</v>
      </c>
      <c r="K11" s="42" t="n">
        <v>1030</v>
      </c>
      <c r="L11" s="42" t="n">
        <v>1030</v>
      </c>
      <c r="M11" s="42" t="n">
        <v>1030</v>
      </c>
      <c r="N11" s="42" t="n">
        <v>1030</v>
      </c>
      <c r="O11" s="42" t="n">
        <v>1030</v>
      </c>
      <c r="P11" s="42" t="n">
        <v>1030</v>
      </c>
      <c r="Q11" s="42" t="n">
        <v>1030</v>
      </c>
      <c r="R11" s="42" t="n">
        <v>1030</v>
      </c>
      <c r="S11" s="42" t="n">
        <v>1030</v>
      </c>
      <c r="T11" s="54">
        <f>SUM(H11:S11)</f>
        <v/>
      </c>
    </row>
    <row r="12" ht="26" customHeight="1">
      <c r="A12" s="40" t="inlineStr">
        <is>
          <t>JUR-D05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Cursos / Eventos / Network</t>
        </is>
      </c>
      <c r="E12" s="41" t="inlineStr"/>
      <c r="F12" s="40" t="inlineStr"/>
      <c r="G12" s="40" t="inlineStr">
        <is>
          <t>Custeio de Treinamento</t>
        </is>
      </c>
      <c r="H12" s="42" t="n">
        <v>1000</v>
      </c>
      <c r="I12" s="42" t="n">
        <v>1000</v>
      </c>
      <c r="J12" s="42" t="n">
        <v>1000</v>
      </c>
      <c r="K12" s="42" t="n">
        <v>1000</v>
      </c>
      <c r="L12" s="42" t="n">
        <v>1000</v>
      </c>
      <c r="M12" s="42" t="n">
        <v>1000</v>
      </c>
      <c r="N12" s="42" t="n">
        <v>1000</v>
      </c>
      <c r="O12" s="42" t="n">
        <v>1000</v>
      </c>
      <c r="P12" s="42" t="n">
        <v>1000</v>
      </c>
      <c r="Q12" s="42" t="n">
        <v>1000</v>
      </c>
      <c r="R12" s="42" t="n">
        <v>1000</v>
      </c>
      <c r="S12" s="42" t="n">
        <v>1000</v>
      </c>
      <c r="T12" s="54">
        <f>SUM(H12:S12)</f>
        <v/>
      </c>
    </row>
    <row r="13" ht="26" customHeight="1">
      <c r="A13" s="40" t="inlineStr">
        <is>
          <t>JUR-D06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Bonificações trimestrais/semestrais do time</t>
        </is>
      </c>
      <c r="E13" s="41" t="inlineStr">
        <is>
          <t>Participação em projetos e atingimento de resultados — CONFIRMAR se houve parcela no 1º quadrimestre</t>
        </is>
      </c>
      <c r="F13" s="40" t="inlineStr"/>
      <c r="G13" s="40" t="inlineStr">
        <is>
          <t>Prêmios</t>
        </is>
      </c>
      <c r="H13" s="42" t="n">
        <v>0</v>
      </c>
      <c r="I13" s="42" t="n">
        <v>0</v>
      </c>
      <c r="J13" s="42" t="n">
        <v>0</v>
      </c>
      <c r="K13" s="42" t="n">
        <v>0</v>
      </c>
      <c r="L13" s="42" t="n">
        <v>0</v>
      </c>
      <c r="M13" s="42" t="n">
        <v>0</v>
      </c>
      <c r="N13" s="42" t="n">
        <v>0</v>
      </c>
      <c r="O13" s="42" t="n">
        <v>10293.6</v>
      </c>
      <c r="P13" s="42" t="n">
        <v>0</v>
      </c>
      <c r="Q13" s="42" t="n">
        <v>0</v>
      </c>
      <c r="R13" s="42" t="n">
        <v>0</v>
      </c>
      <c r="S13" s="42" t="n">
        <v>12867</v>
      </c>
      <c r="T13" s="54">
        <f>SUM(H13:S13)</f>
        <v/>
      </c>
    </row>
    <row r="14" ht="26" customHeight="1">
      <c r="A14" s="47" t="inlineStr">
        <is>
          <t>TI-E01</t>
        </is>
      </c>
      <c r="B14" s="47" t="inlineStr">
        <is>
          <t>TI</t>
        </is>
      </c>
      <c r="C14" s="47" t="inlineStr">
        <is>
          <t>Equipe</t>
        </is>
      </c>
      <c r="D14" s="48" t="inlineStr">
        <is>
          <t>Vinicius Di Franco</t>
        </is>
      </c>
      <c r="E14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47" t="inlineStr">
        <is>
          <t>CLT</t>
        </is>
      </c>
      <c r="G14" s="47" t="inlineStr">
        <is>
          <t>Pessoal - CLT</t>
        </is>
      </c>
      <c r="H14" s="49" t="n">
        <v>5416.525</v>
      </c>
      <c r="I14" s="49" t="n">
        <v>5416.525</v>
      </c>
      <c r="J14" s="49" t="n">
        <v>5416.525</v>
      </c>
      <c r="K14" s="49" t="n">
        <v>5416.525</v>
      </c>
      <c r="L14" s="49" t="n">
        <v>5416.525</v>
      </c>
      <c r="M14" s="49" t="n">
        <v>5416.525</v>
      </c>
      <c r="N14" s="49" t="n">
        <v>5416.525</v>
      </c>
      <c r="O14" s="49" t="n">
        <v>5416.525</v>
      </c>
      <c r="P14" s="49" t="n">
        <v>5416.525</v>
      </c>
      <c r="Q14" s="49" t="n">
        <v>5416.525</v>
      </c>
      <c r="R14" s="49" t="n">
        <v>5416.525</v>
      </c>
      <c r="S14" s="49" t="n">
        <v>5416.525</v>
      </c>
      <c r="T14" s="54">
        <f>SUM(H14:S14)</f>
        <v/>
      </c>
    </row>
    <row r="15" ht="26" customHeight="1">
      <c r="A15" s="47" t="inlineStr">
        <is>
          <t>TI-E02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Elias Benedito</t>
        </is>
      </c>
      <c r="E15" s="48" t="inlineStr">
        <is>
          <t>Suporte Técnico Terceirizado</t>
        </is>
      </c>
      <c r="F15" s="47" t="inlineStr">
        <is>
          <t>PJ</t>
        </is>
      </c>
      <c r="G15" s="47" t="inlineStr">
        <is>
          <t>Pessoal - PJ</t>
        </is>
      </c>
      <c r="H15" s="49" t="n">
        <v>1065</v>
      </c>
      <c r="I15" s="49" t="n">
        <v>1065</v>
      </c>
      <c r="J15" s="49" t="n">
        <v>1065</v>
      </c>
      <c r="K15" s="49" t="n">
        <v>1065</v>
      </c>
      <c r="L15" s="49" t="n">
        <v>1065</v>
      </c>
      <c r="M15" s="49" t="n">
        <v>1065</v>
      </c>
      <c r="N15" s="49" t="n">
        <v>1065</v>
      </c>
      <c r="O15" s="49" t="n">
        <v>1065</v>
      </c>
      <c r="P15" s="49" t="n">
        <v>1065</v>
      </c>
      <c r="Q15" s="49" t="n">
        <v>1065</v>
      </c>
      <c r="R15" s="49" t="n">
        <v>1065</v>
      </c>
      <c r="S15" s="49" t="n">
        <v>1065</v>
      </c>
      <c r="T15" s="54">
        <f>SUM(H15:S15)</f>
        <v/>
      </c>
    </row>
    <row r="16" ht="26" customHeight="1">
      <c r="A16" s="47" t="inlineStr">
        <is>
          <t>TI-E03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Jonathan</t>
        </is>
      </c>
      <c r="E16" s="48" t="inlineStr">
        <is>
          <t>Consultor — entrada em abr/26 (9 meses), conforme o total da ficha original</t>
        </is>
      </c>
      <c r="F16" s="47" t="inlineStr">
        <is>
          <t>PJ</t>
        </is>
      </c>
      <c r="G16" s="47" t="inlineStr">
        <is>
          <t>Pessoal - PJ</t>
        </is>
      </c>
      <c r="H16" s="49" t="n">
        <v>0</v>
      </c>
      <c r="I16" s="49" t="n">
        <v>0</v>
      </c>
      <c r="J16" s="49" t="n">
        <v>0</v>
      </c>
      <c r="K16" s="49" t="n">
        <v>10000</v>
      </c>
      <c r="L16" s="49" t="n">
        <v>10000</v>
      </c>
      <c r="M16" s="49" t="n">
        <v>10000</v>
      </c>
      <c r="N16" s="49" t="n">
        <v>10000</v>
      </c>
      <c r="O16" s="49" t="n">
        <v>10000</v>
      </c>
      <c r="P16" s="49" t="n">
        <v>10000</v>
      </c>
      <c r="Q16" s="49" t="n">
        <v>10000</v>
      </c>
      <c r="R16" s="49" t="n">
        <v>10000</v>
      </c>
      <c r="S16" s="49" t="n">
        <v>10000</v>
      </c>
      <c r="T16" s="54">
        <f>SUM(H16:S16)</f>
        <v/>
      </c>
    </row>
    <row r="17" ht="26" customHeight="1">
      <c r="A17" s="47" t="inlineStr">
        <is>
          <t>TI-D01</t>
        </is>
      </c>
      <c r="B17" s="47" t="inlineStr">
        <is>
          <t>TI</t>
        </is>
      </c>
      <c r="C17" s="47" t="inlineStr">
        <is>
          <t>Despesas</t>
        </is>
      </c>
      <c r="D17" s="48" t="inlineStr">
        <is>
          <t>Peças de Manutenção</t>
        </is>
      </c>
      <c r="E17" s="48" t="inlineStr">
        <is>
          <t>Tela, teclado, carcaça, mouses de reposição, carregadores etc.</t>
        </is>
      </c>
      <c r="F17" s="47" t="inlineStr"/>
      <c r="G17" s="47" t="inlineStr">
        <is>
          <t>Equipamentos Eletrônicos Diversos</t>
        </is>
      </c>
      <c r="H17" s="49" t="n">
        <v>810</v>
      </c>
      <c r="I17" s="49" t="n">
        <v>810</v>
      </c>
      <c r="J17" s="49" t="n">
        <v>810</v>
      </c>
      <c r="K17" s="49" t="n">
        <v>810</v>
      </c>
      <c r="L17" s="49" t="n">
        <v>810</v>
      </c>
      <c r="M17" s="49" t="n">
        <v>810</v>
      </c>
      <c r="N17" s="49" t="n">
        <v>810</v>
      </c>
      <c r="O17" s="49" t="n">
        <v>810</v>
      </c>
      <c r="P17" s="49" t="n">
        <v>810</v>
      </c>
      <c r="Q17" s="49" t="n">
        <v>810</v>
      </c>
      <c r="R17" s="49" t="n">
        <v>810</v>
      </c>
      <c r="S17" s="49" t="n">
        <v>810</v>
      </c>
      <c r="T17" s="54">
        <f>SUM(H17:S17)</f>
        <v/>
      </c>
    </row>
    <row r="18" ht="26" customHeight="1">
      <c r="A18" s="47" t="inlineStr">
        <is>
          <t>TI-D02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Backup em Nuvem</t>
        </is>
      </c>
      <c r="E18" s="48" t="inlineStr">
        <is>
          <t>Serviço de backup em nuvem para servidor — RATEIO A DEFINIR</t>
        </is>
      </c>
      <c r="F18" s="47" t="inlineStr"/>
      <c r="G18" s="47" t="inlineStr">
        <is>
          <t>Licenças de Softwares</t>
        </is>
      </c>
      <c r="H18" s="49" t="n">
        <v>825</v>
      </c>
      <c r="I18" s="49" t="n">
        <v>825</v>
      </c>
      <c r="J18" s="49" t="n">
        <v>825</v>
      </c>
      <c r="K18" s="49" t="n">
        <v>825</v>
      </c>
      <c r="L18" s="49" t="n">
        <v>825</v>
      </c>
      <c r="M18" s="49" t="n">
        <v>825</v>
      </c>
      <c r="N18" s="49" t="n">
        <v>825</v>
      </c>
      <c r="O18" s="49" t="n">
        <v>825</v>
      </c>
      <c r="P18" s="49" t="n">
        <v>825</v>
      </c>
      <c r="Q18" s="49" t="n">
        <v>825</v>
      </c>
      <c r="R18" s="49" t="n">
        <v>825</v>
      </c>
      <c r="S18" s="49" t="n">
        <v>825</v>
      </c>
      <c r="T18" s="54">
        <f>SUM(H18:S18)</f>
        <v/>
      </c>
    </row>
    <row r="19" ht="26" customHeight="1">
      <c r="A19" s="47" t="inlineStr">
        <is>
          <t>TI-D03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Inteligência Artificial (Adapta)</t>
        </is>
      </c>
      <c r="E19" s="48" t="inlineStr">
        <is>
          <t>Plataforma de IA para utilização de agentes — RATEIO A DEFINIR</t>
        </is>
      </c>
      <c r="F19" s="47" t="inlineStr"/>
      <c r="G19" s="47" t="inlineStr">
        <is>
          <t>Licenças de Softwares</t>
        </is>
      </c>
      <c r="H19" s="49" t="n">
        <v>1300</v>
      </c>
      <c r="I19" s="49" t="n">
        <v>1300</v>
      </c>
      <c r="J19" s="49" t="n">
        <v>1300</v>
      </c>
      <c r="K19" s="49" t="n">
        <v>1300</v>
      </c>
      <c r="L19" s="49" t="n">
        <v>1300</v>
      </c>
      <c r="M19" s="49" t="n">
        <v>1300</v>
      </c>
      <c r="N19" s="49" t="n">
        <v>1600</v>
      </c>
      <c r="O19" s="49" t="n">
        <v>1600</v>
      </c>
      <c r="P19" s="49" t="n">
        <v>1600</v>
      </c>
      <c r="Q19" s="49" t="n">
        <v>1600</v>
      </c>
      <c r="R19" s="49" t="n">
        <v>1600</v>
      </c>
      <c r="S19" s="49" t="n">
        <v>1600</v>
      </c>
      <c r="T19" s="54">
        <f>SUM(H19:S19)</f>
        <v/>
      </c>
    </row>
    <row r="20" ht="26" customHeight="1">
      <c r="A20" s="47" t="inlineStr">
        <is>
          <t>TI-D04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Antivírus</t>
        </is>
      </c>
      <c r="E20" s="48" t="inlineStr">
        <is>
          <t>Proteção para equipamentos — RATEIO A DEFINIR</t>
        </is>
      </c>
      <c r="F20" s="47" t="inlineStr"/>
      <c r="G20" s="47" t="inlineStr">
        <is>
          <t>Licenças de Softwares</t>
        </is>
      </c>
      <c r="H20" s="49" t="n">
        <v>240</v>
      </c>
      <c r="I20" s="49" t="n">
        <v>240</v>
      </c>
      <c r="J20" s="49" t="n">
        <v>240</v>
      </c>
      <c r="K20" s="49" t="n">
        <v>240</v>
      </c>
      <c r="L20" s="49" t="n">
        <v>240</v>
      </c>
      <c r="M20" s="49" t="n">
        <v>240</v>
      </c>
      <c r="N20" s="49" t="n">
        <v>240</v>
      </c>
      <c r="O20" s="49" t="n">
        <v>240</v>
      </c>
      <c r="P20" s="49" t="n">
        <v>240</v>
      </c>
      <c r="Q20" s="49" t="n">
        <v>240</v>
      </c>
      <c r="R20" s="49" t="n">
        <v>240</v>
      </c>
      <c r="S20" s="49" t="n">
        <v>240</v>
      </c>
      <c r="T20" s="54">
        <f>SUM(H20:S20)</f>
        <v/>
      </c>
    </row>
    <row r="21" ht="26" customHeight="1">
      <c r="A21" s="47" t="inlineStr">
        <is>
          <t>TI-D05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Pacote Office 365</t>
        </is>
      </c>
      <c r="E21" s="48" t="inlineStr">
        <is>
          <t>Licenças de software (conferir nº de licenças x usuários) — RATEIO A DEFINIR</t>
        </is>
      </c>
      <c r="F21" s="47" t="inlineStr"/>
      <c r="G21" s="47" t="inlineStr">
        <is>
          <t>Licenças de Softwares</t>
        </is>
      </c>
      <c r="H21" s="49" t="n">
        <v>375</v>
      </c>
      <c r="I21" s="49" t="n">
        <v>375</v>
      </c>
      <c r="J21" s="49" t="n">
        <v>375</v>
      </c>
      <c r="K21" s="49" t="n">
        <v>375</v>
      </c>
      <c r="L21" s="49" t="n">
        <v>375</v>
      </c>
      <c r="M21" s="49" t="n">
        <v>375</v>
      </c>
      <c r="N21" s="49" t="n">
        <v>375</v>
      </c>
      <c r="O21" s="49" t="n">
        <v>375</v>
      </c>
      <c r="P21" s="49" t="n">
        <v>375</v>
      </c>
      <c r="Q21" s="49" t="n">
        <v>375</v>
      </c>
      <c r="R21" s="49" t="n">
        <v>375</v>
      </c>
      <c r="S21" s="49" t="n">
        <v>375</v>
      </c>
      <c r="T21" s="54">
        <f>SUM(H21:S21)</f>
        <v/>
      </c>
    </row>
    <row r="22" ht="26" customHeight="1">
      <c r="A22" s="47" t="inlineStr">
        <is>
          <t>TI-D06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Projeto Melhoria de Infraestrutura - Sala de Reunião</t>
        </is>
      </c>
      <c r="E22" s="48" t="inlineStr">
        <is>
          <t>Cadeiras, cafeteira, copos, canetas, blocos personalizados, câmeras, microfones etc.</t>
        </is>
      </c>
      <c r="F22" s="47" t="inlineStr"/>
      <c r="G22" s="47" t="inlineStr">
        <is>
          <t>Móveis e Utensílios</t>
        </is>
      </c>
      <c r="H22" s="49" t="n">
        <v>2800</v>
      </c>
      <c r="I22" s="49" t="n">
        <v>2800</v>
      </c>
      <c r="J22" s="49" t="n">
        <v>2800</v>
      </c>
      <c r="K22" s="49" t="n">
        <v>2800</v>
      </c>
      <c r="L22" s="49" t="n">
        <v>2800</v>
      </c>
      <c r="M22" s="49" t="n">
        <v>2800</v>
      </c>
      <c r="N22" s="49" t="n">
        <v>2800</v>
      </c>
      <c r="O22" s="49" t="n">
        <v>2800</v>
      </c>
      <c r="P22" s="49" t="n">
        <v>2800</v>
      </c>
      <c r="Q22" s="49" t="n">
        <v>2800</v>
      </c>
      <c r="R22" s="49" t="n">
        <v>2800</v>
      </c>
      <c r="S22" s="49" t="n">
        <v>2800</v>
      </c>
      <c r="T22" s="54">
        <f>SUM(H22:S22)</f>
        <v/>
      </c>
    </row>
    <row r="23" ht="26" customHeight="1">
      <c r="A23" s="47" t="inlineStr">
        <is>
          <t>TI-D07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Cursos e Treinamentos</t>
        </is>
      </c>
      <c r="E23" s="48" t="inlineStr"/>
      <c r="F23" s="47" t="inlineStr"/>
      <c r="G23" s="47" t="inlineStr">
        <is>
          <t>Custeio de Treinamento</t>
        </is>
      </c>
      <c r="H23" s="49" t="n">
        <v>200</v>
      </c>
      <c r="I23" s="49" t="n">
        <v>200</v>
      </c>
      <c r="J23" s="49" t="n">
        <v>200</v>
      </c>
      <c r="K23" s="49" t="n">
        <v>200</v>
      </c>
      <c r="L23" s="49" t="n">
        <v>200</v>
      </c>
      <c r="M23" s="49" t="n">
        <v>200</v>
      </c>
      <c r="N23" s="49" t="n">
        <v>200</v>
      </c>
      <c r="O23" s="49" t="n">
        <v>200</v>
      </c>
      <c r="P23" s="49" t="n">
        <v>200</v>
      </c>
      <c r="Q23" s="49" t="n">
        <v>200</v>
      </c>
      <c r="R23" s="49" t="n">
        <v>200</v>
      </c>
      <c r="S23" s="49" t="n">
        <v>200</v>
      </c>
      <c r="T23" s="54">
        <f>SUM(H23:S23)</f>
        <v/>
      </c>
    </row>
    <row r="24" ht="26" customHeight="1">
      <c r="A24" s="47" t="inlineStr">
        <is>
          <t>TI-D08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Aplicativo de Gravação de Reunião</t>
        </is>
      </c>
      <c r="E24" s="48" t="inlineStr"/>
      <c r="F24" s="47" t="inlineStr"/>
      <c r="G24" s="47" t="inlineStr">
        <is>
          <t>Licenças de Softwares</t>
        </is>
      </c>
      <c r="H24" s="49" t="n">
        <v>220</v>
      </c>
      <c r="I24" s="49" t="n">
        <v>220</v>
      </c>
      <c r="J24" s="49" t="n">
        <v>220</v>
      </c>
      <c r="K24" s="49" t="n">
        <v>220</v>
      </c>
      <c r="L24" s="49" t="n">
        <v>220</v>
      </c>
      <c r="M24" s="49" t="n">
        <v>220</v>
      </c>
      <c r="N24" s="49" t="n">
        <v>220</v>
      </c>
      <c r="O24" s="49" t="n">
        <v>220</v>
      </c>
      <c r="P24" s="49" t="n">
        <v>220</v>
      </c>
      <c r="Q24" s="49" t="n">
        <v>220</v>
      </c>
      <c r="R24" s="49" t="n">
        <v>220</v>
      </c>
      <c r="S24" s="49" t="n">
        <v>220</v>
      </c>
      <c r="T24" s="54">
        <f>SUM(H24:S24)</f>
        <v/>
      </c>
    </row>
    <row r="25" ht="26" customHeight="1">
      <c r="A25" s="47" t="inlineStr">
        <is>
          <t>TI-D10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Claude</t>
        </is>
      </c>
      <c r="E25" s="48" t="inlineStr">
        <is>
          <t>Ferramenta de IA — não constava na ficha. Planejado a definir com a diretoria</t>
        </is>
      </c>
      <c r="F25" s="47" t="inlineStr"/>
      <c r="G25" s="47" t="inlineStr">
        <is>
          <t>Licenças de Softwares</t>
        </is>
      </c>
      <c r="H25" s="49" t="n">
        <v>0</v>
      </c>
      <c r="I25" s="49" t="n">
        <v>0</v>
      </c>
      <c r="J25" s="49" t="n">
        <v>0</v>
      </c>
      <c r="K25" s="49" t="n">
        <v>0</v>
      </c>
      <c r="L25" s="49" t="n">
        <v>0</v>
      </c>
      <c r="M25" s="49" t="n">
        <v>0</v>
      </c>
      <c r="N25" s="49" t="n">
        <v>0</v>
      </c>
      <c r="O25" s="49" t="n">
        <v>0</v>
      </c>
      <c r="P25" s="49" t="n">
        <v>0</v>
      </c>
      <c r="Q25" s="49" t="n">
        <v>0</v>
      </c>
      <c r="R25" s="49" t="n">
        <v>0</v>
      </c>
      <c r="S25" s="49" t="n">
        <v>0</v>
      </c>
      <c r="T25" s="54">
        <f>SUM(H25:S25)</f>
        <v/>
      </c>
    </row>
    <row r="26" ht="26" customHeight="1">
      <c r="A26" s="47" t="inlineStr">
        <is>
          <t>TI-D11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GPT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TI-D12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Adapta One</t>
        </is>
      </c>
      <c r="E27" s="48" t="inlineStr">
        <is>
          <t>Ferramenta de IA — não constava na ficha. Planejado a definir com a diretoria. CONFERIR sobreposição com a linha 'Inteligência Artificial (Adapta)'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TI-D13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Skip</t>
        </is>
      </c>
      <c r="E28" s="48" t="inlineStr">
        <is>
          <t>Ferramenta de IA — não constava na ficha. Planejado a definir com a diretoria. CONFERIR o nome exato do produto e a sobreposição com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TI-D09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Bonificação do time</t>
        </is>
      </c>
      <c r="E29" s="48" t="inlineStr">
        <is>
          <t>Cumprimento de prazos e participação em projetos — CONFIRMAR se houve parcela no 1º quadrimestre</t>
        </is>
      </c>
      <c r="F29" s="47" t="inlineStr"/>
      <c r="G29" s="47" t="inlineStr">
        <is>
          <t>Prêmios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2400</v>
      </c>
      <c r="P29" s="49" t="n">
        <v>0</v>
      </c>
      <c r="Q29" s="49" t="n">
        <v>0</v>
      </c>
      <c r="R29" s="49" t="n">
        <v>0</v>
      </c>
      <c r="S29" s="49" t="n">
        <v>3600</v>
      </c>
      <c r="T29" s="54">
        <f>SUM(H29:S29)</f>
        <v/>
      </c>
    </row>
    <row r="30">
      <c r="A30" s="16" t="inlineStr">
        <is>
          <t>TOTAL GERAL</t>
        </is>
      </c>
      <c r="B30" s="16" t="n"/>
      <c r="C30" s="16" t="n"/>
      <c r="D30" s="16" t="n"/>
      <c r="E30" s="16" t="n"/>
      <c r="F30" s="16" t="n"/>
      <c r="G30" s="16" t="n"/>
      <c r="H30" s="17">
        <f>SUM(H5:H29)</f>
        <v/>
      </c>
      <c r="I30" s="17">
        <f>SUM(I5:I29)</f>
        <v/>
      </c>
      <c r="J30" s="17">
        <f>SUM(J5:J29)</f>
        <v/>
      </c>
      <c r="K30" s="17">
        <f>SUM(K5:K29)</f>
        <v/>
      </c>
      <c r="L30" s="17">
        <f>SUM(L5:L29)</f>
        <v/>
      </c>
      <c r="M30" s="17">
        <f>SUM(M5:M29)</f>
        <v/>
      </c>
      <c r="N30" s="17">
        <f>SUM(N5:N29)</f>
        <v/>
      </c>
      <c r="O30" s="17">
        <f>SUM(O5:O29)</f>
        <v/>
      </c>
      <c r="P30" s="17">
        <f>SUM(P5:P29)</f>
        <v/>
      </c>
      <c r="Q30" s="17">
        <f>SUM(Q5:Q29)</f>
        <v/>
      </c>
      <c r="R30" s="17">
        <f>SUM(R5:R29)</f>
        <v/>
      </c>
      <c r="S30" s="17">
        <f>SUM(S5:S29)</f>
        <v/>
      </c>
      <c r="T30" s="17">
        <f>SUM(T5:T29)</f>
        <v/>
      </c>
    </row>
  </sheetData>
  <autoFilter ref="A4:T29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0</v>
      </c>
      <c r="O8" s="58" t="n"/>
      <c r="T8" s="54">
        <f>SUM(H8:S8)</f>
        <v/>
      </c>
      <c r="U8" s="59" t="inlineStr">
        <is>
          <t>Gestora, 05/08/26</t>
        </is>
      </c>
      <c r="V8" s="59" t="inlineStr">
        <is>
          <t>Ainda não iniciado — sem cobrança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136</v>
      </c>
      <c r="I9" s="58" t="n">
        <v>136</v>
      </c>
      <c r="J9" s="58" t="n">
        <v>136</v>
      </c>
      <c r="K9" s="58" t="n">
        <v>136</v>
      </c>
      <c r="L9" s="58" t="n">
        <v>136</v>
      </c>
      <c r="M9" s="58" t="n">
        <v>136</v>
      </c>
      <c r="N9" s="58" t="n">
        <v>136</v>
      </c>
      <c r="O9" s="58" t="n"/>
      <c r="T9" s="54">
        <f>SUM(H9:S9)</f>
        <v/>
      </c>
      <c r="U9" s="59" t="inlineStr">
        <is>
          <t>Gestora, 05/08/26</t>
        </is>
      </c>
      <c r="V9" s="59" t="inlineStr">
        <is>
          <t>R$ 136,00/mês contra R$ 104,90 orçados. Erro no orçamento original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346</v>
      </c>
      <c r="I10" s="58" t="n">
        <v>346</v>
      </c>
      <c r="J10" s="58" t="n">
        <v>346</v>
      </c>
      <c r="K10" s="58" t="n">
        <v>346</v>
      </c>
      <c r="L10" s="58" t="n">
        <v>346</v>
      </c>
      <c r="M10" s="58" t="n">
        <v>346</v>
      </c>
      <c r="N10" s="58" t="n">
        <v>346</v>
      </c>
      <c r="O10" s="58" t="n"/>
      <c r="T10" s="54">
        <f>SUM(H10:S10)</f>
        <v/>
      </c>
      <c r="U10" s="59" t="inlineStr">
        <is>
          <t>Gestora, 05/08/26</t>
        </is>
      </c>
      <c r="V10" s="59" t="inlineStr">
        <is>
          <t>R$ 346,00/mês — 3x o orçado (R$ 112,07).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970</v>
      </c>
      <c r="I11" s="58" t="n">
        <v>970</v>
      </c>
      <c r="J11" s="58" t="n">
        <v>970</v>
      </c>
      <c r="K11" s="58" t="n">
        <v>970</v>
      </c>
      <c r="L11" s="58" t="n">
        <v>970</v>
      </c>
      <c r="M11" s="58" t="n">
        <v>970</v>
      </c>
      <c r="N11" s="58" t="n">
        <v>970</v>
      </c>
      <c r="O11" s="58" t="n"/>
      <c r="T11" s="54">
        <f>SUM(H11:S11)</f>
        <v/>
      </c>
      <c r="U11" s="59" t="inlineStr">
        <is>
          <t>Gestora, 05/08/26</t>
        </is>
      </c>
      <c r="V11" s="59" t="n"/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0</v>
      </c>
      <c r="I12" s="58" t="n">
        <v>0</v>
      </c>
      <c r="J12" s="58" t="n">
        <v>0</v>
      </c>
      <c r="K12" s="58" t="n">
        <v>0</v>
      </c>
      <c r="L12" s="58" t="n">
        <v>0</v>
      </c>
      <c r="M12" s="58" t="n">
        <v>0</v>
      </c>
      <c r="N12" s="58" t="n">
        <v>0</v>
      </c>
      <c r="O12" s="58" t="n"/>
      <c r="T12" s="54">
        <f>SUM(H12:S12)</f>
        <v/>
      </c>
      <c r="U12" s="59" t="inlineStr">
        <is>
          <t>Gestora, 05/08/26</t>
        </is>
      </c>
      <c r="V12" s="59" t="inlineStr">
        <is>
          <t>Sem gasto no período</t>
        </is>
      </c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T13" s="54">
        <f>SUM(H13:S13)</f>
        <v/>
      </c>
      <c r="U13" s="59" t="inlineStr">
        <is>
          <t>Gestora, 05/08/26</t>
        </is>
      </c>
      <c r="V13" s="59" t="inlineStr">
        <is>
          <t>Sem parcela no 1º semestre; bonificação de ago/26 a confirmar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T14" s="54">
        <f>SUM(H14:S14)</f>
        <v/>
      </c>
      <c r="U14" s="59" t="n"/>
      <c r="V14" s="59" t="inlineStr">
        <is>
          <t>PREENCHER com o CUSTO TOTAL. Bruto: R$ 2.570,52/mês até jul e R$ 3.070,52 de ago — faltam encargos e benefícios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>
        <v>0</v>
      </c>
      <c r="I15" s="58" t="n">
        <v>0</v>
      </c>
      <c r="J15" s="58" t="n">
        <v>0</v>
      </c>
      <c r="K15" s="58" t="n">
        <v>0</v>
      </c>
      <c r="L15" s="58" t="n">
        <v>0</v>
      </c>
      <c r="M15" s="58" t="n">
        <v>0</v>
      </c>
      <c r="N15" s="58" t="n">
        <v>0</v>
      </c>
      <c r="O15" s="58" t="n"/>
      <c r="T15" s="54">
        <f>SUM(H15:S15)</f>
        <v/>
      </c>
      <c r="U15" s="59" t="inlineStr">
        <is>
          <t>Gestora, 05/08/26</t>
        </is>
      </c>
      <c r="V15" s="59" t="inlineStr">
        <is>
          <t>Sem acionamento no período — confirmar se o contrato segue ativo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6300</v>
      </c>
      <c r="L16" s="58" t="n">
        <v>6300</v>
      </c>
      <c r="M16" s="58" t="n">
        <v>6300</v>
      </c>
      <c r="N16" s="58" t="n">
        <v>6300</v>
      </c>
      <c r="O16" s="58" t="n"/>
      <c r="T16" s="54">
        <f>SUM(H16:S16)</f>
        <v/>
      </c>
      <c r="U16" s="59" t="inlineStr">
        <is>
          <t>Gestora, 05/08/26</t>
        </is>
      </c>
      <c r="V16" s="59" t="inlineStr">
        <is>
          <t>Entrada em abr/26. R$ 3.700/mês abaixo do contratado — confirmar escopo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T17" s="54">
        <f>SUM(H17:S17)</f>
        <v/>
      </c>
      <c r="U17" s="59" t="n"/>
      <c r="V17" s="59" t="n"/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T29" s="54">
        <f>SUM(H29:S29)</f>
        <v/>
      </c>
      <c r="U29" s="59" t="n"/>
      <c r="V29" s="59" t="n"/>
    </row>
    <row r="30">
      <c r="A30" s="60" t="inlineStr">
        <is>
          <t>TOTAL GERAL</t>
        </is>
      </c>
      <c r="B30" s="60" t="n"/>
      <c r="C30" s="60" t="n"/>
      <c r="D30" s="60" t="n"/>
      <c r="E30" s="60" t="n"/>
      <c r="F30" s="60" t="n"/>
      <c r="G30" s="60" t="n"/>
      <c r="H30" s="61">
        <f>SUM(H5:H29)</f>
        <v/>
      </c>
      <c r="I30" s="61">
        <f>SUM(I5:I29)</f>
        <v/>
      </c>
      <c r="J30" s="61">
        <f>SUM(J5:J29)</f>
        <v/>
      </c>
      <c r="K30" s="61">
        <f>SUM(K5:K29)</f>
        <v/>
      </c>
      <c r="L30" s="61">
        <f>SUM(L5:L29)</f>
        <v/>
      </c>
      <c r="M30" s="61">
        <f>SUM(M5:M29)</f>
        <v/>
      </c>
      <c r="N30" s="61">
        <f>SUM(N5:N29)</f>
        <v/>
      </c>
      <c r="O30" s="61">
        <f>SUM(O5:O29)</f>
        <v/>
      </c>
      <c r="P30" s="61">
        <f>SUM(P5:P29)</f>
        <v/>
      </c>
      <c r="Q30" s="61">
        <f>SUM(Q5:Q29)</f>
        <v/>
      </c>
      <c r="R30" s="61">
        <f>SUM(R5:R29)</f>
        <v/>
      </c>
      <c r="S30" s="61">
        <f>SUM(S5:S29)</f>
        <v/>
      </c>
      <c r="T30" s="61">
        <f>SUM(T5:T29)</f>
        <v/>
      </c>
      <c r="U30" s="60" t="n"/>
      <c r="V30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SUMIFS(Planejado!$H$5:$H$29,Planejado!$B$5:$B$29,"Jurídico")</f>
        <v/>
      </c>
      <c r="C5" s="42">
        <f>SUMIFS(Realizado!$H$5:$H$29,Realizado!$B$5:$B$29,"Jurídico")</f>
        <v/>
      </c>
      <c r="D5" s="42">
        <f>SUMIFS(Planejado!$H$5:$H$29,Planejado!$B$5:$B$29,"TI")</f>
        <v/>
      </c>
      <c r="E5" s="42">
        <f>SUMIFS(Realizado!$H$5:$H$29,Realizado!$B$5:$B$29,"TI")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SUMIFS(Planejado!$I$5:$I$29,Planejado!$B$5:$B$29,"Jurídico")</f>
        <v/>
      </c>
      <c r="C6" s="49">
        <f>SUMIFS(Realizado!$I$5:$I$29,Realizado!$B$5:$B$29,"Jurídico")</f>
        <v/>
      </c>
      <c r="D6" s="49">
        <f>SUMIFS(Planejado!$I$5:$I$29,Planejado!$B$5:$B$29,"TI")</f>
        <v/>
      </c>
      <c r="E6" s="49">
        <f>SUMIFS(Realizado!$I$5:$I$29,Realizado!$B$5:$B$29,"TI")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SUMIFS(Planejado!$J$5:$J$29,Planejado!$B$5:$B$29,"Jurídico")</f>
        <v/>
      </c>
      <c r="C7" s="42">
        <f>SUMIFS(Realizado!$J$5:$J$29,Realizado!$B$5:$B$29,"Jurídico")</f>
        <v/>
      </c>
      <c r="D7" s="42">
        <f>SUMIFS(Planejado!$J$5:$J$29,Planejado!$B$5:$B$29,"TI")</f>
        <v/>
      </c>
      <c r="E7" s="42">
        <f>SUMIFS(Realizado!$J$5:$J$29,Realizado!$B$5:$B$29,"TI")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SUMIFS(Planejado!$K$5:$K$29,Planejado!$B$5:$B$29,"Jurídico")</f>
        <v/>
      </c>
      <c r="C8" s="49">
        <f>SUMIFS(Realizado!$K$5:$K$29,Realizado!$B$5:$B$29,"Jurídico")</f>
        <v/>
      </c>
      <c r="D8" s="49">
        <f>SUMIFS(Planejado!$K$5:$K$29,Planejado!$B$5:$B$29,"TI")</f>
        <v/>
      </c>
      <c r="E8" s="49">
        <f>SUMIFS(Realizado!$K$5:$K$29,Realizado!$B$5:$B$29,"TI")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SUMIFS(Planejado!$L$5:$L$29,Planejado!$B$5:$B$29,"Jurídico")</f>
        <v/>
      </c>
      <c r="C9" s="42">
        <f>SUMIFS(Realizado!$L$5:$L$29,Realizado!$B$5:$B$29,"Jurídico")</f>
        <v/>
      </c>
      <c r="D9" s="42">
        <f>SUMIFS(Planejado!$L$5:$L$29,Planejado!$B$5:$B$29,"TI")</f>
        <v/>
      </c>
      <c r="E9" s="42">
        <f>SUMIFS(Realizado!$L$5:$L$29,Realizado!$B$5:$B$29,"TI")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SUMIFS(Planejado!$M$5:$M$29,Planejado!$B$5:$B$29,"Jurídico")</f>
        <v/>
      </c>
      <c r="C10" s="49">
        <f>SUMIFS(Realizado!$M$5:$M$29,Realizado!$B$5:$B$29,"Jurídico")</f>
        <v/>
      </c>
      <c r="D10" s="49">
        <f>SUMIFS(Planejado!$M$5:$M$29,Planejado!$B$5:$B$29,"TI")</f>
        <v/>
      </c>
      <c r="E10" s="49">
        <f>SUMIFS(Realizado!$M$5:$M$29,Realizado!$B$5:$B$29,"TI")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SUMIFS(Planejado!$N$5:$N$29,Planejado!$B$5:$B$29,"Jurídico")</f>
        <v/>
      </c>
      <c r="C11" s="42">
        <f>SUMIFS(Realizado!$N$5:$N$29,Realizado!$B$5:$B$29,"Jurídico")</f>
        <v/>
      </c>
      <c r="D11" s="42">
        <f>SUMIFS(Planejado!$N$5:$N$29,Planejado!$B$5:$B$29,"TI")</f>
        <v/>
      </c>
      <c r="E11" s="42">
        <f>SUMIFS(Realizado!$N$5:$N$29,Realizado!$B$5:$B$29,"TI")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SUMIFS(Planejado!$O$5:$O$29,Planejado!$B$5:$B$29,"Jurídico")</f>
        <v/>
      </c>
      <c r="C12" s="49">
        <f>SUMIFS(Realizado!$O$5:$O$29,Realizado!$B$5:$B$29,"Jurídico")</f>
        <v/>
      </c>
      <c r="D12" s="49">
        <f>SUMIFS(Planejado!$O$5:$O$29,Planejado!$B$5:$B$29,"TI")</f>
        <v/>
      </c>
      <c r="E12" s="49">
        <f>SUMIFS(Realizado!$O$5:$O$29,Realizado!$B$5:$B$29,"TI")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SUMIFS(Planejado!$P$5:$P$29,Planejado!$B$5:$B$29,"Jurídico")</f>
        <v/>
      </c>
      <c r="C13" s="42">
        <f>SUMIFS(Realizado!$P$5:$P$29,Realizado!$B$5:$B$29,"Jurídico")</f>
        <v/>
      </c>
      <c r="D13" s="42">
        <f>SUMIFS(Planejado!$P$5:$P$29,Planejado!$B$5:$B$29,"TI")</f>
        <v/>
      </c>
      <c r="E13" s="42">
        <f>SUMIFS(Realizado!$P$5:$P$29,Realizado!$B$5:$B$29,"TI")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SUMIFS(Planejado!$Q$5:$Q$29,Planejado!$B$5:$B$29,"Jurídico")</f>
        <v/>
      </c>
      <c r="C14" s="49">
        <f>SUMIFS(Realizado!$Q$5:$Q$29,Realizado!$B$5:$B$29,"Jurídico")</f>
        <v/>
      </c>
      <c r="D14" s="49">
        <f>SUMIFS(Planejado!$Q$5:$Q$29,Planejado!$B$5:$B$29,"TI")</f>
        <v/>
      </c>
      <c r="E14" s="49">
        <f>SUMIFS(Realizado!$Q$5:$Q$29,Realizado!$B$5:$B$29,"TI")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SUMIFS(Planejado!$R$5:$R$29,Planejado!$B$5:$B$29,"Jurídico")</f>
        <v/>
      </c>
      <c r="C15" s="42">
        <f>SUMIFS(Realizado!$R$5:$R$29,Realizado!$B$5:$B$29,"Jurídico")</f>
        <v/>
      </c>
      <c r="D15" s="42">
        <f>SUMIFS(Planejado!$R$5:$R$29,Planejado!$B$5:$B$29,"TI")</f>
        <v/>
      </c>
      <c r="E15" s="42">
        <f>SUMIFS(Realizado!$R$5:$R$29,Realizado!$B$5:$B$29,"TI")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SUMIFS(Planejado!$S$5:$S$29,Planejado!$B$5:$B$29,"Jurídico")</f>
        <v/>
      </c>
      <c r="C16" s="49">
        <f>SUMIFS(Realizado!$S$5:$S$29,Realizado!$B$5:$B$29,"Jurídico")</f>
        <v/>
      </c>
      <c r="D16" s="49">
        <f>SUMIFS(Planejado!$S$5:$S$29,Planejado!$B$5:$B$29,"TI")</f>
        <v/>
      </c>
      <c r="E16" s="49">
        <f>SUMIFS(Realizado!$S$5:$S$29,Realizado!$B$5:$B$29,"TI")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SUMIFS(Comparativo!$I$6:$I$30,Comparativo!$E$6:$E$30,$A5,Comparativo!$B$6:$B$30,"Jurídico")</f>
        <v/>
      </c>
      <c r="C5" s="42">
        <f>SUMIFS(Comparativo!$J$6:$J$30,Comparativo!$E$6:$E$30,$A5,Comparativo!$B$6:$B$30,"Jurídico")</f>
        <v/>
      </c>
      <c r="D5" s="42">
        <f>SUMIFS(Comparativo!$I$6:$I$30,Comparativo!$E$6:$E$30,$A5,Comparativo!$B$6:$B$30,"TI")</f>
        <v/>
      </c>
      <c r="E5" s="42">
        <f>SUMIFS(Comparativo!$J$6:$J$30,Comparativo!$E$6:$E$30,$A5,Comparativo!$B$6:$B$30,"TI")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SUMIFS(Planejado!$T$5:$T$29,Planejado!$G$5:$G$29,$A5)</f>
        <v/>
      </c>
    </row>
    <row r="6" ht="20" customHeight="1">
      <c r="A6" s="66" t="inlineStr">
        <is>
          <t>Pessoal - PJ</t>
        </is>
      </c>
      <c r="B6" s="49">
        <f>SUMIFS(Comparativo!$I$6:$I$30,Comparativo!$E$6:$E$30,$A6,Comparativo!$B$6:$B$30,"Jurídico")</f>
        <v/>
      </c>
      <c r="C6" s="49">
        <f>SUMIFS(Comparativo!$J$6:$J$30,Comparativo!$E$6:$E$30,$A6,Comparativo!$B$6:$B$30,"Jurídico")</f>
        <v/>
      </c>
      <c r="D6" s="49">
        <f>SUMIFS(Comparativo!$I$6:$I$30,Comparativo!$E$6:$E$30,$A6,Comparativo!$B$6:$B$30,"TI")</f>
        <v/>
      </c>
      <c r="E6" s="49">
        <f>SUMIFS(Comparativo!$J$6:$J$30,Comparativo!$E$6:$E$30,$A6,Comparativo!$B$6:$B$30,"TI")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SUMIFS(Planejado!$T$5:$T$29,Planejado!$G$5:$G$29,$A6)</f>
        <v/>
      </c>
    </row>
    <row r="7" ht="20" customHeight="1">
      <c r="A7" s="64" t="inlineStr">
        <is>
          <t>Licenças de Softwares</t>
        </is>
      </c>
      <c r="B7" s="42">
        <f>SUMIFS(Comparativo!$I$6:$I$30,Comparativo!$E$6:$E$30,$A7,Comparativo!$B$6:$B$30,"Jurídico")</f>
        <v/>
      </c>
      <c r="C7" s="42">
        <f>SUMIFS(Comparativo!$J$6:$J$30,Comparativo!$E$6:$E$30,$A7,Comparativo!$B$6:$B$30,"Jurídico")</f>
        <v/>
      </c>
      <c r="D7" s="42">
        <f>SUMIFS(Comparativo!$I$6:$I$30,Comparativo!$E$6:$E$30,$A7,Comparativo!$B$6:$B$30,"TI")</f>
        <v/>
      </c>
      <c r="E7" s="42">
        <f>SUMIFS(Comparativo!$J$6:$J$30,Comparativo!$E$6:$E$30,$A7,Comparativo!$B$6:$B$30,"TI")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SUMIFS(Planejado!$T$5:$T$29,Planejado!$G$5:$G$29,$A7)</f>
        <v/>
      </c>
    </row>
    <row r="8" ht="20" customHeight="1">
      <c r="A8" s="66" t="inlineStr">
        <is>
          <t>Custeio de Treinamento</t>
        </is>
      </c>
      <c r="B8" s="49">
        <f>SUMIFS(Comparativo!$I$6:$I$30,Comparativo!$E$6:$E$30,$A8,Comparativo!$B$6:$B$30,"Jurídico")</f>
        <v/>
      </c>
      <c r="C8" s="49">
        <f>SUMIFS(Comparativo!$J$6:$J$30,Comparativo!$E$6:$E$30,$A8,Comparativo!$B$6:$B$30,"Jurídico")</f>
        <v/>
      </c>
      <c r="D8" s="49">
        <f>SUMIFS(Comparativo!$I$6:$I$30,Comparativo!$E$6:$E$30,$A8,Comparativo!$B$6:$B$30,"TI")</f>
        <v/>
      </c>
      <c r="E8" s="49">
        <f>SUMIFS(Comparativo!$J$6:$J$30,Comparativo!$E$6:$E$30,$A8,Comparativo!$B$6:$B$30,"TI")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SUMIFS(Planejado!$T$5:$T$29,Planejado!$G$5:$G$29,$A8)</f>
        <v/>
      </c>
    </row>
    <row r="9" ht="20" customHeight="1">
      <c r="A9" s="64" t="inlineStr">
        <is>
          <t>Prêmios</t>
        </is>
      </c>
      <c r="B9" s="42">
        <f>SUMIFS(Comparativo!$I$6:$I$30,Comparativo!$E$6:$E$30,$A9,Comparativo!$B$6:$B$30,"Jurídico")</f>
        <v/>
      </c>
      <c r="C9" s="42">
        <f>SUMIFS(Comparativo!$J$6:$J$30,Comparativo!$E$6:$E$30,$A9,Comparativo!$B$6:$B$30,"Jurídico")</f>
        <v/>
      </c>
      <c r="D9" s="42">
        <f>SUMIFS(Comparativo!$I$6:$I$30,Comparativo!$E$6:$E$30,$A9,Comparativo!$B$6:$B$30,"TI")</f>
        <v/>
      </c>
      <c r="E9" s="42">
        <f>SUMIFS(Comparativo!$J$6:$J$30,Comparativo!$E$6:$E$30,$A9,Comparativo!$B$6:$B$30,"TI")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SUMIFS(Planejado!$T$5:$T$29,Planejado!$G$5:$G$29,$A9)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SUMIFS(Comparativo!$I$6:$I$30,Comparativo!$E$6:$E$30,$A10,Comparativo!$B$6:$B$30,"Jurídico")</f>
        <v/>
      </c>
      <c r="C10" s="49">
        <f>SUMIFS(Comparativo!$J$6:$J$30,Comparativo!$E$6:$E$30,$A10,Comparativo!$B$6:$B$30,"Jurídico")</f>
        <v/>
      </c>
      <c r="D10" s="49">
        <f>SUMIFS(Comparativo!$I$6:$I$30,Comparativo!$E$6:$E$30,$A10,Comparativo!$B$6:$B$30,"TI")</f>
        <v/>
      </c>
      <c r="E10" s="49">
        <f>SUMIFS(Comparativo!$J$6:$J$30,Comparativo!$E$6:$E$30,$A10,Comparativo!$B$6:$B$30,"TI")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SUMIFS(Planejado!$T$5:$T$29,Planejado!$G$5:$G$29,$A10)</f>
        <v/>
      </c>
    </row>
    <row r="11" ht="20" customHeight="1">
      <c r="A11" s="64" t="inlineStr">
        <is>
          <t>Móveis e Utensílios</t>
        </is>
      </c>
      <c r="B11" s="42">
        <f>SUMIFS(Comparativo!$I$6:$I$30,Comparativo!$E$6:$E$30,$A11,Comparativo!$B$6:$B$30,"Jurídico")</f>
        <v/>
      </c>
      <c r="C11" s="42">
        <f>SUMIFS(Comparativo!$J$6:$J$30,Comparativo!$E$6:$E$30,$A11,Comparativo!$B$6:$B$30,"Jurídico")</f>
        <v/>
      </c>
      <c r="D11" s="42">
        <f>SUMIFS(Comparativo!$I$6:$I$30,Comparativo!$E$6:$E$30,$A11,Comparativo!$B$6:$B$30,"TI")</f>
        <v/>
      </c>
      <c r="E11" s="42">
        <f>SUMIFS(Comparativo!$J$6:$J$30,Comparativo!$E$6:$E$30,$A11,Comparativo!$B$6:$B$30,"TI")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SUMIFS(Planejado!$T$5:$T$29,Planejado!$G$5:$G$29,$A11)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CONFERIR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Se algum contrato tinha valor diferente no 1º quadrimestre, ou se houve bonificação nesse período, o planejado de jan a abr precisa ser corrigido antes de comparar com o realizado.</t>
        </is>
      </c>
      <c r="E12" s="72" t="inlineStr">
        <is>
          <t>Cristiane</t>
        </is>
      </c>
      <c r="F12" s="75" t="inlineStr">
        <is>
          <t>CONFERIR</t>
        </is>
      </c>
    </row>
    <row r="13" ht="58" customHeight="1">
      <c r="A13" s="68" t="inlineStr">
        <is>
          <t>I</t>
        </is>
      </c>
      <c r="B13" s="69" t="inlineStr">
        <is>
          <t>Realizado de jan a abr — A LANÇAR</t>
        </is>
      </c>
      <c r="C13" s="69" t="inlineStr">
        <is>
          <t>As colunas de jan a abr estão em branco na aba Realizado. Só mai, jun e jul foram informados.</t>
        </is>
      </c>
      <c r="D13" s="69" t="inlineStr">
        <is>
          <t>São 4 dos 7 meses já fechados do ano. Sem eles o acumulado e o Painel refletem menos da metade do período decorrido.</t>
        </is>
      </c>
      <c r="E13" s="69" t="inlineStr">
        <is>
          <t>Cristiane</t>
        </is>
      </c>
      <c r="F13" s="70" t="inlineStr">
        <is>
          <t>A LANÇAR</t>
        </is>
      </c>
    </row>
    <row r="14" ht="58" customHeight="1">
      <c r="A14" s="71" t="inlineStr">
        <is>
          <t>J</t>
        </is>
      </c>
      <c r="B14" s="72" t="inlineStr">
        <is>
          <t>Despesas do TI — A LANÇAR</t>
        </is>
      </c>
      <c r="C14" s="72" t="inlineStr">
        <is>
          <t>As 9 linhas de despesas do TI (peças, backup, Adapta, antivírus, Office, sala de reunião, cursos, app de gravação e bonificação) não têm lançamento em nenhum mês.</t>
        </is>
      </c>
      <c r="D14" s="72" t="inlineStr">
        <is>
          <t>São R$ 89.040 orçados no ano, 35% do orçamento do TI. Sem lançamento, o departamento aparece com desvio negativo que é ausência de dado.</t>
        </is>
      </c>
      <c r="E14" s="72" t="inlineStr">
        <is>
          <t>Cristiane</t>
        </is>
      </c>
      <c r="F14" s="70" t="inlineStr">
        <is>
          <t>A LANÇAR</t>
        </is>
      </c>
    </row>
    <row r="15" ht="58" customHeight="1">
      <c r="A15" s="68" t="inlineStr">
        <is>
          <t>1</t>
        </is>
      </c>
      <c r="B15" s="69" t="inlineStr">
        <is>
          <t>Base de meses — reconciliada com a ficha original</t>
        </is>
      </c>
      <c r="C15" s="69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69" t="inlineStr">
        <is>
          <t>Equipe de TI no valor original de R$ 167.778,30. Jonathan lançado com entrada em abr/26 (9 meses), que é o que explica os R$ 90.000.</t>
        </is>
      </c>
      <c r="E15" s="69" t="inlineStr">
        <is>
          <t>Cristiane</t>
        </is>
      </c>
      <c r="F15" s="73" t="inlineStr">
        <is>
          <t>RESOLVIDO</t>
        </is>
      </c>
    </row>
    <row r="16" ht="58" customHeight="1">
      <c r="A16" s="71" t="inlineStr">
        <is>
          <t>2</t>
        </is>
      </c>
      <c r="B16" s="72" t="inlineStr">
        <is>
          <t>Origem do valor realizado</t>
        </is>
      </c>
      <c r="C16" s="72" t="inlineStr">
        <is>
          <t>Ainda não definido se o realizado virá de lançamento manual, de relatório do financeiro/ERP por centro de custo, ou misto. Até aqui os números vieram informados pela gestora.</t>
        </is>
      </c>
      <c r="D16" s="72" t="inlineStr">
        <is>
          <t>Sem fonte definida o realizado pode divergir da contabilidade e o comparativo perde valor na apresentação à diretoria.</t>
        </is>
      </c>
      <c r="E16" s="72" t="inlineStr">
        <is>
          <t>Cristiane + Financeiro</t>
        </is>
      </c>
      <c r="F16" s="74" t="inlineStr">
        <is>
          <t>EM ABERTO</t>
        </is>
      </c>
    </row>
    <row r="17" ht="58" customHeight="1">
      <c r="A17" s="68" t="inlineStr">
        <is>
          <t>3</t>
        </is>
      </c>
      <c r="B17" s="69" t="inlineStr">
        <is>
          <t>Jusfy x Astrea</t>
        </is>
      </c>
      <c r="C17" s="69" t="inlineStr">
        <is>
          <t>O Astrea NÃO foi cancelado: custa R$ 346,00/mês e segue ativo. O Jusfy está em R$ 0 — ainda não iniciado. A informação anterior de que o Astrea estava zerado foi corrigida pela gestora.</t>
        </is>
      </c>
      <c r="D17" s="69" t="inlineStr">
        <is>
          <t>O Astrea sozinho consome R$ 4.152/ano. Se o Jusfy entrar e o objetivo era substituí-lo, essa é a economia em jogo — e ela é maior do que parecia, porque o custo real do Astrea é 3x o que estava orçado.</t>
        </is>
      </c>
      <c r="E17" s="69" t="inlineStr">
        <is>
          <t>Cristiane</t>
        </is>
      </c>
      <c r="F17" s="74" t="inlineStr">
        <is>
          <t>EM ABERTO</t>
        </is>
      </c>
    </row>
    <row r="18" ht="58" customHeight="1">
      <c r="A18" s="71" t="inlineStr">
        <is>
          <t>K</t>
        </is>
      </c>
      <c r="B18" s="72" t="inlineStr">
        <is>
          <t>ORÇAMENTO VEIO ERRADO — Astrea e Jusbrasil</t>
        </is>
      </c>
      <c r="C18" s="72" t="inlineStr">
        <is>
          <t>Os dois valores já chegaram errados na ficha de orçamento que a gestora recebeu. Astrea: orçado R$ 112,07/mês, custo real R$ 346,00 (3,1x). Jusbrasil: orçado R$ 104,90/mês, custo real R$ 136,00 (1,3x). PAUTA PARA A REUNIÃO COM A DIRETORIA.</t>
        </is>
      </c>
      <c r="D18" s="72" t="inlineStr">
        <is>
          <t>O planejado dessas duas linhas foi mantido como está na ficha, para o erro ficar visível no comparativo. Subdimensionamento de R$ 3.180,36 no ano (R$ 2.807,16 do Astrea + R$ 373,20 do Jusbrasil). Não é estouro de gestão: é erro na origem do orçamento, e precisa de correção formal.</t>
        </is>
      </c>
      <c r="E18" s="72" t="inlineStr">
        <is>
          <t>Cristiane + Diretoria</t>
        </is>
      </c>
      <c r="F18" s="76" t="inlineStr">
        <is>
          <t>PAUTA REUNIÃO</t>
        </is>
      </c>
    </row>
    <row r="19" ht="58" customHeight="1">
      <c r="A19" s="68" t="inlineStr">
        <is>
          <t>L</t>
        </is>
      </c>
      <c r="B19" s="69" t="inlineStr">
        <is>
          <t>Ferramentas de IA sem orçamento — DEFINIR META</t>
        </is>
      </c>
      <c r="C19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9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9" s="69" t="inlineStr">
        <is>
          <t>Cristiane + Diretoria</t>
        </is>
      </c>
      <c r="F19" s="76" t="inlineStr">
        <is>
          <t>PAUTA REUNIÃO</t>
        </is>
      </c>
    </row>
    <row r="20" ht="58" customHeight="1">
      <c r="A20" s="71" t="inlineStr">
        <is>
          <t>4</t>
        </is>
      </c>
      <c r="B20" s="72" t="inlineStr">
        <is>
          <t>Rateio dos softwares corporativos de TI</t>
        </is>
      </c>
      <c r="C20" s="72" t="inlineStr">
        <is>
          <t>Backup (R$ 9.900), Adapta/IA (R$ 17.400), Antivírus (R$ 2.880) e Office 365 (R$ 4.500) estão marcados na ficha como 'não sei se seria administrativo'. Total no ano: R$ 34.680.</t>
        </is>
      </c>
      <c r="D20" s="72" t="inlineStr">
        <is>
          <t>São 39% das despesas do TI. Se são da empresa toda e ficam no centro de custo de TI, o departamento carrega despesa que não é dele e aparece caro.</t>
        </is>
      </c>
      <c r="E20" s="72" t="inlineStr">
        <is>
          <t>Cristiane + Controladoria</t>
        </is>
      </c>
      <c r="F20" s="74" t="inlineStr">
        <is>
          <t>EM ABERTO</t>
        </is>
      </c>
    </row>
    <row r="21" ht="58" customHeight="1">
      <c r="A21" s="68" t="inlineStr">
        <is>
          <t>5</t>
        </is>
      </c>
      <c r="B21" s="69" t="inlineStr">
        <is>
          <t>Sala de Reunião — recorrente ou pontual?</t>
        </is>
      </c>
      <c r="C21" s="69" t="inlineStr">
        <is>
          <t>R$ 2.800/mês × 12 = R$ 33.600 diluídos linearmente, classificados em Móveis e Utensílios.</t>
        </is>
      </c>
      <c r="D21" s="69" t="inlineStr">
        <is>
          <t>Se for compra pontual (CAPEX), o desvio mensal vai acusar alarme falso todo mês até a compra acontecer, e um pico no mês da compra.</t>
        </is>
      </c>
      <c r="E21" s="69" t="inlineStr">
        <is>
          <t>Cristiane</t>
        </is>
      </c>
      <c r="F21" s="74" t="inlineStr">
        <is>
          <t>EM ABERTO</t>
        </is>
      </c>
    </row>
    <row r="22" ht="58" customHeight="1">
      <c r="A22" s="71" t="inlineStr">
        <is>
          <t>6</t>
        </is>
      </c>
      <c r="B22" s="72" t="inlineStr">
        <is>
          <t>Office 365 — nº de licenças</t>
        </is>
      </c>
      <c r="C22" s="72" t="inlineStr">
        <is>
          <t>A observação diz '10 licenças de software – 60 usuários'. Os dois números não fecham entre si.</t>
        </is>
      </c>
      <c r="D22" s="72" t="inlineStr">
        <is>
          <t>Afeta o valor orçado da linha e a projeção de crescimento.</t>
        </is>
      </c>
      <c r="E22" s="72" t="inlineStr">
        <is>
          <t>Cristiane</t>
        </is>
      </c>
      <c r="F22" s="74" t="inlineStr">
        <is>
          <t>EM ABERTO</t>
        </is>
      </c>
    </row>
    <row r="23" ht="58" customHeight="1">
      <c r="A23" s="68" t="inlineStr">
        <is>
          <t>7</t>
        </is>
      </c>
      <c r="B23" s="69" t="inlineStr">
        <is>
          <t>Competência x caixa — DEFASAGEM CONFIRMADA</t>
        </is>
      </c>
      <c r="C23" s="69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23" s="69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23" s="69" t="inlineStr">
        <is>
          <t>Cristiane + Financeiro</t>
        </is>
      </c>
      <c r="F23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7" t="inlineStr">
        <is>
          <t>2</t>
        </is>
      </c>
      <c r="B6" s="7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2026-08-06T12:37:09Z</dcterms:created>
  <dcterms:modified xsi:type="dcterms:W3CDTF">2026-08-06T12:37:09Z</dcterms:modified>
</cp:coreProperties>
</file>