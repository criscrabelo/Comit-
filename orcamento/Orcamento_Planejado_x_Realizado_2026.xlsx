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</sheets>
  <definedNames>
    <definedName name="_xlnm._FilterDatabase" localSheetId="1" hidden="1">'Comparativo'!$A$5:$N$28</definedName>
    <definedName name="_xlnm._FilterDatabase" localSheetId="2" hidden="1">'Planejado'!$A$4:$T$27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18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color rgb="00000000"/>
      <sz val="10"/>
    </font>
    <font>
      <b val="1"/>
      <color rgb="00000000"/>
      <sz val="10"/>
    </font>
    <font>
      <b val="1"/>
      <color rgb="00FFFFFF"/>
      <sz val="11"/>
    </font>
    <font>
      <sz val="10"/>
    </font>
  </fonts>
  <fills count="13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FFFFF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7B3F00"/>
      </patternFill>
    </fill>
    <fill>
      <patternFill patternType="solid">
        <fgColor rgb="00FFF7DC"/>
      </patternFill>
    </fill>
    <fill>
      <patternFill patternType="solid">
        <fgColor rgb="00F8CBAD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14" fillId="4" borderId="1" pivotButton="0" quotePrefix="0" xfId="0"/>
    <xf numFmtId="164" fontId="14" fillId="4" borderId="1" pivotButton="0" quotePrefix="0" xfId="0"/>
    <xf numFmtId="165" fontId="14" fillId="4" borderId="1" applyAlignment="1" pivotButton="0" quotePrefix="0" xfId="0">
      <alignment horizontal="center"/>
    </xf>
    <xf numFmtId="0" fontId="14" fillId="4" borderId="1" applyAlignment="1" pivotButton="0" quotePrefix="0" xfId="0">
      <alignment horizontal="center"/>
    </xf>
    <xf numFmtId="0" fontId="15" fillId="5" borderId="1" pivotButton="0" quotePrefix="0" xfId="0"/>
    <xf numFmtId="164" fontId="15" fillId="5" borderId="1" pivotButton="0" quotePrefix="0" xfId="0"/>
    <xf numFmtId="165" fontId="15" fillId="5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0" fontId="6" fillId="2" borderId="1" pivotButton="0" quotePrefix="0" xfId="0"/>
    <xf numFmtId="164" fontId="6" fillId="2" borderId="1" pivotButton="0" quotePrefix="0" xfId="0"/>
    <xf numFmtId="165" fontId="6" fillId="2" borderId="1" applyAlignment="1" pivotButton="0" quotePrefix="0" xfId="0">
      <alignment horizontal="center"/>
    </xf>
    <xf numFmtId="0" fontId="6" fillId="2" borderId="1" applyAlignment="1" pivotButton="0" quotePrefix="0" xfId="0">
      <alignment horizontal="center"/>
    </xf>
    <xf numFmtId="0" fontId="16" fillId="3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5" fontId="4" fillId="0" borderId="1" pivotButton="0" quotePrefix="0" xfId="0"/>
    <xf numFmtId="0" fontId="10" fillId="8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0" fontId="4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 wrapText="1"/>
    </xf>
    <xf numFmtId="164" fontId="4" fillId="6" borderId="1" pivotButton="0" quotePrefix="0" xfId="0"/>
    <xf numFmtId="165" fontId="4" fillId="6" borderId="1" pivotButton="0" quotePrefix="0" xfId="0"/>
    <xf numFmtId="0" fontId="4" fillId="6" borderId="1" applyAlignment="1" pivotButton="0" quotePrefix="0" xfId="0">
      <alignment horizontal="center" vertical="center"/>
    </xf>
    <xf numFmtId="0" fontId="12" fillId="6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7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left" vertical="center" wrapText="1"/>
    </xf>
    <xf numFmtId="164" fontId="4" fillId="8" borderId="1" pivotButton="0" quotePrefix="0" xfId="0"/>
    <xf numFmtId="0" fontId="8" fillId="8" borderId="1" applyAlignment="1" pivotButton="0" quotePrefix="0" xfId="0">
      <alignment vertical="center" wrapText="1"/>
    </xf>
    <xf numFmtId="0" fontId="6" fillId="7" borderId="1" pivotButton="0" quotePrefix="0" xfId="0"/>
    <xf numFmtId="164" fontId="6" fillId="7" borderId="1" pivotButton="0" quotePrefix="0" xfId="0"/>
    <xf numFmtId="0" fontId="4" fillId="4" borderId="1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0" fontId="4" fillId="6" borderId="1" pivotButton="0" quotePrefix="0" xfId="0"/>
    <xf numFmtId="165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9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left" vertical="top" wrapText="1"/>
    </xf>
    <xf numFmtId="0" fontId="5" fillId="10" borderId="1" applyAlignment="1" pivotButton="0" quotePrefix="0" xfId="0">
      <alignment horizontal="center" vertical="top" wrapText="1"/>
    </xf>
    <xf numFmtId="0" fontId="5" fillId="11" borderId="1" applyAlignment="1" pivotButton="0" quotePrefix="0" xfId="0">
      <alignment horizontal="center" vertical="top" wrapText="1"/>
    </xf>
    <xf numFmtId="0" fontId="5" fillId="12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17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Mensal'!I4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Mensal'!$I$5:$I$16</f>
            </numRef>
          </val>
        </ser>
        <ser>
          <idx val="1"/>
          <order val="1"/>
          <tx>
            <strRef>
              <f>'Evolução Mensal'!J4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Mensal'!$J$5:$J$16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Mensal'!F4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Mensal'!$F$5:$F$16</f>
            </numRef>
          </val>
        </ser>
        <ser>
          <idx val="1"/>
          <order val="1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Jurídico e TI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5" ht="30" customHeight="1">
      <c r="A5" s="6" t="inlineStr">
        <is>
          <t>Departamento</t>
        </is>
      </c>
      <c r="B5" s="6" t="inlineStr">
        <is>
          <t>Bloco</t>
        </is>
      </c>
      <c r="C5" s="6" t="inlineStr">
        <is>
          <t>Orçado do ano</t>
        </is>
      </c>
      <c r="D5" s="6" t="inlineStr">
        <is>
          <t>Planejado acum.</t>
        </is>
      </c>
      <c r="E5" s="6" t="inlineStr">
        <is>
          <t>Realizado acum.</t>
        </is>
      </c>
      <c r="F5" s="6" t="inlineStr">
        <is>
          <t>Desvio (R$)</t>
        </is>
      </c>
      <c r="G5" s="6" t="inlineStr">
        <is>
          <t>Desvio (%)</t>
        </is>
      </c>
      <c r="H5" s="6" t="inlineStr">
        <is>
          <t>% Executado do ano</t>
        </is>
      </c>
      <c r="I5" s="6" t="inlineStr">
        <is>
          <t>Linhas lançadas</t>
        </is>
      </c>
    </row>
    <row r="6" ht="22" customHeight="1">
      <c r="A6" s="7" t="inlineStr">
        <is>
          <t>Jurídico</t>
        </is>
      </c>
      <c r="B6" s="7" t="inlineStr">
        <is>
          <t>Equipe</t>
        </is>
      </c>
      <c r="C6" s="8">
        <f>SUMIFS(Planejado!$T$5:$T$27,Planejado!$B$5:$B$27,"Jurídico",Planejado!$C$5:$C$27,"Equipe")</f>
        <v/>
      </c>
      <c r="D6" s="8">
        <f>SUMIFS(Comparativo!$I$6:$I$28,Comparativo!$B$6:$B$28,"Jurídico",Comparativo!$C$6:$C$28,"Equipe")</f>
        <v/>
      </c>
      <c r="E6" s="8">
        <f>SUMIFS(Comparativo!$J$6:$J$28,Comparativo!$B$6:$B$28,"Jurídico",Comparativo!$C$6:$C$28,"Equipe")</f>
        <v/>
      </c>
      <c r="F6" s="8">
        <f>E6-D6</f>
        <v/>
      </c>
      <c r="G6" s="9">
        <f>IFERROR(F6/D6,"")</f>
        <v/>
      </c>
      <c r="H6" s="9">
        <f>IFERROR(E6/C6,"")</f>
        <v/>
      </c>
      <c r="I6" s="10">
        <f>COUNTIFS(Comparativo!$P$6:$P$28,"&gt;0",Comparativo!$B$6:$B$28,"Jurídico",Comparativo!$C$6:$C$28,"Equipe")&amp;" de "&amp;COUNTIFS(Comparativo!$A$6:$A$28,"?*",Comparativo!$B$6:$B$28,"Jurídico",Comparativo!$C$6:$C$28,"Equipe")</f>
        <v/>
      </c>
    </row>
    <row r="7" ht="22" customHeight="1">
      <c r="A7" s="7" t="inlineStr">
        <is>
          <t>Jurídico</t>
        </is>
      </c>
      <c r="B7" s="7" t="inlineStr">
        <is>
          <t>Despesas</t>
        </is>
      </c>
      <c r="C7" s="8">
        <f>SUMIFS(Planejado!$T$5:$T$27,Planejado!$B$5:$B$27,"Jurídico",Planejado!$C$5:$C$27,"Despesas")</f>
        <v/>
      </c>
      <c r="D7" s="8">
        <f>SUMIFS(Comparativo!$I$6:$I$28,Comparativo!$B$6:$B$28,"Jurídico",Comparativo!$C$6:$C$28,"Despesas")</f>
        <v/>
      </c>
      <c r="E7" s="8">
        <f>SUMIFS(Comparativo!$J$6:$J$28,Comparativo!$B$6:$B$28,"Jurídico",Comparativo!$C$6:$C$28,"Despesas")</f>
        <v/>
      </c>
      <c r="F7" s="8">
        <f>E7-D7</f>
        <v/>
      </c>
      <c r="G7" s="9">
        <f>IFERROR(F7/D7,"")</f>
        <v/>
      </c>
      <c r="H7" s="9">
        <f>IFERROR(E7/C7,"")</f>
        <v/>
      </c>
      <c r="I7" s="10">
        <f>COUNTIFS(Comparativo!$P$6:$P$28,"&gt;0",Comparativo!$B$6:$B$28,"Jurídico",Comparativo!$C$6:$C$28,"Despesas")&amp;" de "&amp;COUNTIFS(Comparativo!$A$6:$A$28,"?*",Comparativo!$B$6:$B$28,"Jurídico",Comparativo!$C$6:$C$28,"Despesas")</f>
        <v/>
      </c>
    </row>
    <row r="8" ht="22" customHeight="1">
      <c r="A8" s="11" t="inlineStr">
        <is>
          <t>Jurídico</t>
        </is>
      </c>
      <c r="B8" s="11" t="inlineStr">
        <is>
          <t>Equipe + Despesas</t>
        </is>
      </c>
      <c r="C8" s="12">
        <f>SUMIFS(Planejado!$T$5:$T$27,Planejado!$B$5:$B$27,"Jurídico")</f>
        <v/>
      </c>
      <c r="D8" s="12">
        <f>SUMIFS(Comparativo!$I$6:$I$28,Comparativo!$B$6:$B$28,"Jurídico")</f>
        <v/>
      </c>
      <c r="E8" s="12">
        <f>SUMIFS(Comparativo!$J$6:$J$28,Comparativo!$B$6:$B$28,"Jurídico")</f>
        <v/>
      </c>
      <c r="F8" s="12">
        <f>E8-D8</f>
        <v/>
      </c>
      <c r="G8" s="13">
        <f>IFERROR(F8/D8,"")</f>
        <v/>
      </c>
      <c r="H8" s="13">
        <f>IFERROR(E8/C8,"")</f>
        <v/>
      </c>
      <c r="I8" s="14">
        <f>COUNTIFS(Comparativo!$P$6:$P$28,"&gt;0",Comparativo!$B$6:$B$28,"Jurídico")&amp;" de "&amp;COUNTIFS(Comparativo!$A$6:$A$28,"?*",Comparativo!$B$6:$B$28,"Jurídico")</f>
        <v/>
      </c>
    </row>
    <row r="9" ht="22" customHeight="1">
      <c r="A9" s="7" t="inlineStr">
        <is>
          <t>TI</t>
        </is>
      </c>
      <c r="B9" s="7" t="inlineStr">
        <is>
          <t>Equipe</t>
        </is>
      </c>
      <c r="C9" s="8">
        <f>SUMIFS(Planejado!$T$5:$T$27,Planejado!$B$5:$B$27,"TI",Planejado!$C$5:$C$27,"Equipe")</f>
        <v/>
      </c>
      <c r="D9" s="8">
        <f>SUMIFS(Comparativo!$I$6:$I$28,Comparativo!$B$6:$B$28,"TI",Comparativo!$C$6:$C$28,"Equipe")</f>
        <v/>
      </c>
      <c r="E9" s="8">
        <f>SUMIFS(Comparativo!$J$6:$J$28,Comparativo!$B$6:$B$28,"TI",Comparativo!$C$6:$C$28,"Equipe")</f>
        <v/>
      </c>
      <c r="F9" s="8">
        <f>E9-D9</f>
        <v/>
      </c>
      <c r="G9" s="9">
        <f>IFERROR(F9/D9,"")</f>
        <v/>
      </c>
      <c r="H9" s="9">
        <f>IFERROR(E9/C9,"")</f>
        <v/>
      </c>
      <c r="I9" s="10">
        <f>COUNTIFS(Comparativo!$P$6:$P$28,"&gt;0",Comparativo!$B$6:$B$28,"TI",Comparativo!$C$6:$C$28,"Equipe")&amp;" de "&amp;COUNTIFS(Comparativo!$A$6:$A$28,"?*",Comparativo!$B$6:$B$28,"TI",Comparativo!$C$6:$C$28,"Equipe")</f>
        <v/>
      </c>
    </row>
    <row r="10" ht="22" customHeight="1">
      <c r="A10" s="7" t="inlineStr">
        <is>
          <t>TI</t>
        </is>
      </c>
      <c r="B10" s="7" t="inlineStr">
        <is>
          <t>Despesas</t>
        </is>
      </c>
      <c r="C10" s="8">
        <f>SUMIFS(Planejado!$T$5:$T$27,Planejado!$B$5:$B$27,"TI",Planejado!$C$5:$C$27,"Despesas")</f>
        <v/>
      </c>
      <c r="D10" s="8">
        <f>SUMIFS(Comparativo!$I$6:$I$28,Comparativo!$B$6:$B$28,"TI",Comparativo!$C$6:$C$28,"Despesas")</f>
        <v/>
      </c>
      <c r="E10" s="8">
        <f>SUMIFS(Comparativo!$J$6:$J$28,Comparativo!$B$6:$B$28,"TI",Comparativo!$C$6:$C$28,"Despesas")</f>
        <v/>
      </c>
      <c r="F10" s="8">
        <f>E10-D10</f>
        <v/>
      </c>
      <c r="G10" s="9">
        <f>IFERROR(F10/D10,"")</f>
        <v/>
      </c>
      <c r="H10" s="9">
        <f>IFERROR(E10/C10,"")</f>
        <v/>
      </c>
      <c r="I10" s="10">
        <f>COUNTIFS(Comparativo!$P$6:$P$28,"&gt;0",Comparativo!$B$6:$B$28,"TI",Comparativo!$C$6:$C$28,"Despesas")&amp;" de "&amp;COUNTIFS(Comparativo!$A$6:$A$28,"?*",Comparativo!$B$6:$B$28,"TI",Comparativo!$C$6:$C$28,"Despesas")</f>
        <v/>
      </c>
    </row>
    <row r="11" ht="22" customHeight="1">
      <c r="A11" s="11" t="inlineStr">
        <is>
          <t>TI</t>
        </is>
      </c>
      <c r="B11" s="11" t="inlineStr">
        <is>
          <t>Equipe + Despesas</t>
        </is>
      </c>
      <c r="C11" s="12">
        <f>SUMIFS(Planejado!$T$5:$T$27,Planejado!$B$5:$B$27,"TI")</f>
        <v/>
      </c>
      <c r="D11" s="12">
        <f>SUMIFS(Comparativo!$I$6:$I$28,Comparativo!$B$6:$B$28,"TI")</f>
        <v/>
      </c>
      <c r="E11" s="12">
        <f>SUMIFS(Comparativo!$J$6:$J$28,Comparativo!$B$6:$B$28,"TI")</f>
        <v/>
      </c>
      <c r="F11" s="12">
        <f>E11-D11</f>
        <v/>
      </c>
      <c r="G11" s="13">
        <f>IFERROR(F11/D11,"")</f>
        <v/>
      </c>
      <c r="H11" s="13">
        <f>IFERROR(E11/C11,"")</f>
        <v/>
      </c>
      <c r="I11" s="14">
        <f>COUNTIFS(Comparativo!$P$6:$P$28,"&gt;0",Comparativo!$B$6:$B$28,"TI")&amp;" de "&amp;COUNTIFS(Comparativo!$A$6:$A$28,"?*",Comparativo!$B$6:$B$28,"TI")</f>
        <v/>
      </c>
    </row>
    <row r="12" ht="22" customHeight="1">
      <c r="A12" s="15" t="inlineStr">
        <is>
          <t>TOTAL GERAL</t>
        </is>
      </c>
      <c r="B12" s="15" t="inlineStr"/>
      <c r="C12" s="16">
        <f>SUM(Planejado!$T$5:$T$27)</f>
        <v/>
      </c>
      <c r="D12" s="16">
        <f>SUM(Comparativo!$I$6:$I$28)</f>
        <v/>
      </c>
      <c r="E12" s="16">
        <f>SUM(Comparativo!$J$6:$J$28)</f>
        <v/>
      </c>
      <c r="F12" s="16">
        <f>E12-D12</f>
        <v/>
      </c>
      <c r="G12" s="17">
        <f>IFERROR(F12/D12,"")</f>
        <v/>
      </c>
      <c r="H12" s="17">
        <f>IFERROR(E12/C12,"")</f>
        <v/>
      </c>
      <c r="I12" s="18">
        <f>COUNTIFS(Comparativo!$P$6:$P$28,"&gt;0")&amp;" de "&amp;COUNTA(Comparativo!$A$6:$A$28)</f>
        <v/>
      </c>
    </row>
    <row r="15" ht="22" customHeight="1">
      <c r="A15" s="19" t="inlineStr">
        <is>
          <t>MAIORES DESVIOS DO ACUMULADO (top 5 acima do orçado)</t>
        </is>
      </c>
    </row>
    <row r="16" ht="30" customHeight="1">
      <c r="A16" s="6" t="inlineStr">
        <is>
          <t>#</t>
        </is>
      </c>
      <c r="B16" s="6" t="inlineStr">
        <is>
          <t>Item</t>
        </is>
      </c>
      <c r="C16" s="6" t="inlineStr">
        <is>
          <t>Departamento</t>
        </is>
      </c>
      <c r="D16" s="6" t="inlineStr">
        <is>
          <t>Planejado acum.</t>
        </is>
      </c>
      <c r="E16" s="6" t="inlineStr">
        <is>
          <t>Realizado acum.</t>
        </is>
      </c>
      <c r="F16" s="6" t="inlineStr">
        <is>
          <t>Desvio (R$)</t>
        </is>
      </c>
      <c r="G16" s="6" t="inlineStr">
        <is>
          <t>Desvio (%)</t>
        </is>
      </c>
      <c r="H16" s="6" t="inlineStr"/>
    </row>
    <row r="17">
      <c r="A17" s="20" t="n">
        <v>1</v>
      </c>
      <c r="B17" s="21">
        <f>IFERROR(INDEX(Comparativo!$D$6:$D$28,MATCH(LARGE(Comparativo!$O$6:$O$28,A17),Comparativo!$O$6:$O$28,0)),"")</f>
        <v/>
      </c>
      <c r="C17" s="21">
        <f>IFERROR(INDEX(Comparativo!$B$6:$B$28,MATCH(LARGE(Comparativo!$O$6:$O$28,A17),Comparativo!$O$6:$O$28,0)),"")</f>
        <v/>
      </c>
      <c r="D17" s="22">
        <f>IFERROR(INDEX(Comparativo!$I$6:$I$28,MATCH(LARGE(Comparativo!$O$6:$O$28,A17),Comparativo!$O$6:$O$28,0)),"")</f>
        <v/>
      </c>
      <c r="E17" s="22">
        <f>IFERROR(INDEX(Comparativo!$J$6:$J$28,MATCH(LARGE(Comparativo!$O$6:$O$28,A17),Comparativo!$O$6:$O$28,0)),"")</f>
        <v/>
      </c>
      <c r="F17" s="22">
        <f>IFERROR(INDEX(Comparativo!$K$6:$K$28,MATCH(LARGE(Comparativo!$O$6:$O$28,A17),Comparativo!$O$6:$O$28,0)),"")</f>
        <v/>
      </c>
      <c r="G17" s="23">
        <f>IFERROR(F17/D17,"")</f>
        <v/>
      </c>
    </row>
    <row r="18">
      <c r="A18" s="20" t="n">
        <v>2</v>
      </c>
      <c r="B18" s="21">
        <f>IFERROR(INDEX(Comparativo!$D$6:$D$28,MATCH(LARGE(Comparativo!$O$6:$O$28,A18),Comparativo!$O$6:$O$28,0)),"")</f>
        <v/>
      </c>
      <c r="C18" s="21">
        <f>IFERROR(INDEX(Comparativo!$B$6:$B$28,MATCH(LARGE(Comparativo!$O$6:$O$28,A18),Comparativo!$O$6:$O$28,0)),"")</f>
        <v/>
      </c>
      <c r="D18" s="22">
        <f>IFERROR(INDEX(Comparativo!$I$6:$I$28,MATCH(LARGE(Comparativo!$O$6:$O$28,A18),Comparativo!$O$6:$O$28,0)),"")</f>
        <v/>
      </c>
      <c r="E18" s="22">
        <f>IFERROR(INDEX(Comparativo!$J$6:$J$28,MATCH(LARGE(Comparativo!$O$6:$O$28,A18),Comparativo!$O$6:$O$28,0)),"")</f>
        <v/>
      </c>
      <c r="F18" s="22">
        <f>IFERROR(INDEX(Comparativo!$K$6:$K$28,MATCH(LARGE(Comparativo!$O$6:$O$28,A18),Comparativo!$O$6:$O$28,0)),"")</f>
        <v/>
      </c>
      <c r="G18" s="23">
        <f>IFERROR(F18/D18,"")</f>
        <v/>
      </c>
    </row>
    <row r="19">
      <c r="A19" s="20" t="n">
        <v>3</v>
      </c>
      <c r="B19" s="21">
        <f>IFERROR(INDEX(Comparativo!$D$6:$D$28,MATCH(LARGE(Comparativo!$O$6:$O$28,A19),Comparativo!$O$6:$O$28,0)),"")</f>
        <v/>
      </c>
      <c r="C19" s="21">
        <f>IFERROR(INDEX(Comparativo!$B$6:$B$28,MATCH(LARGE(Comparativo!$O$6:$O$28,A19),Comparativo!$O$6:$O$28,0)),"")</f>
        <v/>
      </c>
      <c r="D19" s="22">
        <f>IFERROR(INDEX(Comparativo!$I$6:$I$28,MATCH(LARGE(Comparativo!$O$6:$O$28,A19),Comparativo!$O$6:$O$28,0)),"")</f>
        <v/>
      </c>
      <c r="E19" s="22">
        <f>IFERROR(INDEX(Comparativo!$J$6:$J$28,MATCH(LARGE(Comparativo!$O$6:$O$28,A19),Comparativo!$O$6:$O$28,0)),"")</f>
        <v/>
      </c>
      <c r="F19" s="22">
        <f>IFERROR(INDEX(Comparativo!$K$6:$K$28,MATCH(LARGE(Comparativo!$O$6:$O$28,A19),Comparativo!$O$6:$O$28,0)),"")</f>
        <v/>
      </c>
      <c r="G19" s="23">
        <f>IFERROR(F19/D19,"")</f>
        <v/>
      </c>
    </row>
    <row r="20">
      <c r="A20" s="20" t="n">
        <v>4</v>
      </c>
      <c r="B20" s="21">
        <f>IFERROR(INDEX(Comparativo!$D$6:$D$28,MATCH(LARGE(Comparativo!$O$6:$O$28,A20),Comparativo!$O$6:$O$28,0)),"")</f>
        <v/>
      </c>
      <c r="C20" s="21">
        <f>IFERROR(INDEX(Comparativo!$B$6:$B$28,MATCH(LARGE(Comparativo!$O$6:$O$28,A20),Comparativo!$O$6:$O$28,0)),"")</f>
        <v/>
      </c>
      <c r="D20" s="22">
        <f>IFERROR(INDEX(Comparativo!$I$6:$I$28,MATCH(LARGE(Comparativo!$O$6:$O$28,A20),Comparativo!$O$6:$O$28,0)),"")</f>
        <v/>
      </c>
      <c r="E20" s="22">
        <f>IFERROR(INDEX(Comparativo!$J$6:$J$28,MATCH(LARGE(Comparativo!$O$6:$O$28,A20),Comparativo!$O$6:$O$28,0)),"")</f>
        <v/>
      </c>
      <c r="F20" s="22">
        <f>IFERROR(INDEX(Comparativo!$K$6:$K$28,MATCH(LARGE(Comparativo!$O$6:$O$28,A20),Comparativo!$O$6:$O$28,0)),"")</f>
        <v/>
      </c>
      <c r="G20" s="23">
        <f>IFERROR(F20/D20,"")</f>
        <v/>
      </c>
    </row>
    <row r="21">
      <c r="A21" s="20" t="n">
        <v>5</v>
      </c>
      <c r="B21" s="21">
        <f>IFERROR(INDEX(Comparativo!$D$6:$D$28,MATCH(LARGE(Comparativo!$O$6:$O$28,A21),Comparativo!$O$6:$O$28,0)),"")</f>
        <v/>
      </c>
      <c r="C21" s="21">
        <f>IFERROR(INDEX(Comparativo!$B$6:$B$28,MATCH(LARGE(Comparativo!$O$6:$O$28,A21),Comparativo!$O$6:$O$28,0)),"")</f>
        <v/>
      </c>
      <c r="D21" s="22">
        <f>IFERROR(INDEX(Comparativo!$I$6:$I$28,MATCH(LARGE(Comparativo!$O$6:$O$28,A21),Comparativo!$O$6:$O$28,0)),"")</f>
        <v/>
      </c>
      <c r="E21" s="22">
        <f>IFERROR(INDEX(Comparativo!$J$6:$J$28,MATCH(LARGE(Comparativo!$O$6:$O$28,A21),Comparativo!$O$6:$O$28,0)),"")</f>
        <v/>
      </c>
      <c r="F21" s="22">
        <f>IFERROR(INDEX(Comparativo!$K$6:$K$28,MATCH(LARGE(Comparativo!$O$6:$O$28,A21),Comparativo!$O$6:$O$28,0)),"")</f>
        <v/>
      </c>
      <c r="G21" s="23">
        <f>IFERROR(F21/D21,"")</f>
        <v/>
      </c>
    </row>
  </sheetData>
  <mergeCells count="3">
    <mergeCell ref="A1:I1"/>
    <mergeCell ref="A2:I2"/>
    <mergeCell ref="A15:H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24" t="inlineStr">
        <is>
          <t>Jul/26</t>
        </is>
      </c>
      <c r="C3" s="25" t="inlineStr">
        <is>
          <t>Mês nº:</t>
        </is>
      </c>
      <c r="D3" s="26">
        <f>MATCH($B$3,Planejado!$H$4:$S$4,0)</f>
        <v/>
      </c>
    </row>
    <row r="5" ht="30" customHeight="1">
      <c r="A5" s="6" t="inlineStr">
        <is>
          <t>ID</t>
        </is>
      </c>
      <c r="B5" s="6" t="inlineStr">
        <is>
          <t>Departamento</t>
        </is>
      </c>
      <c r="C5" s="6" t="inlineStr">
        <is>
          <t>Bloco</t>
        </is>
      </c>
      <c r="D5" s="6" t="inlineStr">
        <is>
          <t>Descrição</t>
        </is>
      </c>
      <c r="E5" s="6" t="inlineStr">
        <is>
          <t>Plano de Contas</t>
        </is>
      </c>
      <c r="F5" s="6" t="inlineStr">
        <is>
          <t>Planejado no mês</t>
        </is>
      </c>
      <c r="G5" s="6" t="inlineStr">
        <is>
          <t>Realizado no mês</t>
        </is>
      </c>
      <c r="H5" s="6" t="inlineStr">
        <is>
          <t>Desvio no mês (R$)</t>
        </is>
      </c>
      <c r="I5" s="6" t="inlineStr">
        <is>
          <t>Planejado acum.</t>
        </is>
      </c>
      <c r="J5" s="6" t="inlineStr">
        <is>
          <t>Realizado acum.</t>
        </is>
      </c>
      <c r="K5" s="6" t="inlineStr">
        <is>
          <t>Desvio acum. (R$)</t>
        </is>
      </c>
      <c r="L5" s="6" t="inlineStr">
        <is>
          <t>Desvio acum. (%)</t>
        </is>
      </c>
      <c r="M5" s="6" t="inlineStr">
        <is>
          <t>% Executado</t>
        </is>
      </c>
      <c r="N5" s="6" t="inlineStr">
        <is>
          <t>Situação</t>
        </is>
      </c>
      <c r="O5" s="27" t="inlineStr">
        <is>
          <t>(aux ranking)</t>
        </is>
      </c>
      <c r="P5" s="27" t="inlineStr">
        <is>
          <t>(aux meses lançados)</t>
        </is>
      </c>
    </row>
    <row r="6" ht="24" customHeight="1">
      <c r="A6" s="28">
        <f>Planejado!A5</f>
        <v/>
      </c>
      <c r="B6" s="28">
        <f>Planejado!B5</f>
        <v/>
      </c>
      <c r="C6" s="28">
        <f>Planejado!C5</f>
        <v/>
      </c>
      <c r="D6" s="29">
        <f>Planejado!D5</f>
        <v/>
      </c>
      <c r="E6" s="28">
        <f>Planejado!G5</f>
        <v/>
      </c>
      <c r="F6" s="30">
        <f>INDEX(Planejado!$H5:$S5,$D$3)</f>
        <v/>
      </c>
      <c r="G6" s="30">
        <f>INDEX(Realizado!$H5:$S5,$D$3)</f>
        <v/>
      </c>
      <c r="H6" s="30">
        <f>G6-F6</f>
        <v/>
      </c>
      <c r="I6" s="30">
        <f>SUMPRODUCT((COLUMN(Planejado!$H$4:$S$4)-COLUMN(Planejado!$H$4)+1&lt;=$D$3)*Planejado!$H5:$S5)</f>
        <v/>
      </c>
      <c r="J6" s="30">
        <f>SUMPRODUCT((COLUMN(Realizado!$H$4:$S$4)-COLUMN(Realizado!$H$4)+1&lt;=$D$3)*Realizado!$H5:$S5)</f>
        <v/>
      </c>
      <c r="K6" s="30">
        <f>J6-I6</f>
        <v/>
      </c>
      <c r="L6" s="31">
        <f>IFERROR(K6/I6,"")</f>
        <v/>
      </c>
      <c r="M6" s="31">
        <f>IFERROR(J6/I6,"")</f>
        <v/>
      </c>
      <c r="N6" s="32">
        <f>IF(P6=0,"Sem lançamento",IF(AND(I6=0,J6=0),"—",IF(I6=0,"Não orçado",IF(K6&gt;0.05*I6,"Acima do orçado",IF(K6&lt;-0.05*I6,"Abaixo do orçado","Dentro do orçado")))))</f>
        <v/>
      </c>
      <c r="O6" s="27">
        <f>IF(K6&gt;1,K6+ROW()/1000000,"")</f>
        <v/>
      </c>
      <c r="P6" s="33">
        <f>SUMPRODUCT((COLUMN(Realizado!$H$4:$S$4)-COLUMN(Realizado!$H$4)+1&lt;=$D$3)*(Realizado!$H5:$S5&lt;&gt;""))</f>
        <v/>
      </c>
    </row>
    <row r="7" ht="24" customHeight="1">
      <c r="A7" s="28">
        <f>Planejado!A6</f>
        <v/>
      </c>
      <c r="B7" s="28">
        <f>Planejado!B6</f>
        <v/>
      </c>
      <c r="C7" s="28">
        <f>Planejado!C6</f>
        <v/>
      </c>
      <c r="D7" s="29">
        <f>Planejado!D6</f>
        <v/>
      </c>
      <c r="E7" s="28">
        <f>Planejado!G6</f>
        <v/>
      </c>
      <c r="F7" s="30">
        <f>INDEX(Planejado!$H6:$S6,$D$3)</f>
        <v/>
      </c>
      <c r="G7" s="30">
        <f>INDEX(Realizado!$H6:$S6,$D$3)</f>
        <v/>
      </c>
      <c r="H7" s="30">
        <f>G7-F7</f>
        <v/>
      </c>
      <c r="I7" s="30">
        <f>SUMPRODUCT((COLUMN(Planejado!$H$4:$S$4)-COLUMN(Planejado!$H$4)+1&lt;=$D$3)*Planejado!$H6:$S6)</f>
        <v/>
      </c>
      <c r="J7" s="30">
        <f>SUMPRODUCT((COLUMN(Realizado!$H$4:$S$4)-COLUMN(Realizado!$H$4)+1&lt;=$D$3)*Realizado!$H6:$S6)</f>
        <v/>
      </c>
      <c r="K7" s="30">
        <f>J7-I7</f>
        <v/>
      </c>
      <c r="L7" s="31">
        <f>IFERROR(K7/I7,"")</f>
        <v/>
      </c>
      <c r="M7" s="31">
        <f>IFERROR(J7/I7,"")</f>
        <v/>
      </c>
      <c r="N7" s="32">
        <f>IF(P7=0,"Sem lançamento",IF(AND(I7=0,J7=0),"—",IF(I7=0,"Não orçado",IF(K7&gt;0.05*I7,"Acima do orçado",IF(K7&lt;-0.05*I7,"Abaixo do orçado","Dentro do orçado")))))</f>
        <v/>
      </c>
      <c r="O7" s="27">
        <f>IF(K7&gt;1,K7+ROW()/1000000,"")</f>
        <v/>
      </c>
      <c r="P7" s="33">
        <f>SUMPRODUCT((COLUMN(Realizado!$H$4:$S$4)-COLUMN(Realizado!$H$4)+1&lt;=$D$3)*(Realizado!$H6:$S6&lt;&gt;""))</f>
        <v/>
      </c>
    </row>
    <row r="8" ht="24" customHeight="1">
      <c r="A8" s="28">
        <f>Planejado!A7</f>
        <v/>
      </c>
      <c r="B8" s="28">
        <f>Planejado!B7</f>
        <v/>
      </c>
      <c r="C8" s="28">
        <f>Planejado!C7</f>
        <v/>
      </c>
      <c r="D8" s="29">
        <f>Planejado!D7</f>
        <v/>
      </c>
      <c r="E8" s="28">
        <f>Planejado!G7</f>
        <v/>
      </c>
      <c r="F8" s="30">
        <f>INDEX(Planejado!$H7:$S7,$D$3)</f>
        <v/>
      </c>
      <c r="G8" s="30">
        <f>INDEX(Realizado!$H7:$S7,$D$3)</f>
        <v/>
      </c>
      <c r="H8" s="30">
        <f>G8-F8</f>
        <v/>
      </c>
      <c r="I8" s="30">
        <f>SUMPRODUCT((COLUMN(Planejado!$H$4:$S$4)-COLUMN(Planejado!$H$4)+1&lt;=$D$3)*Planejado!$H7:$S7)</f>
        <v/>
      </c>
      <c r="J8" s="30">
        <f>SUMPRODUCT((COLUMN(Realizado!$H$4:$S$4)-COLUMN(Realizado!$H$4)+1&lt;=$D$3)*Realizado!$H7:$S7)</f>
        <v/>
      </c>
      <c r="K8" s="30">
        <f>J8-I8</f>
        <v/>
      </c>
      <c r="L8" s="31">
        <f>IFERROR(K8/I8,"")</f>
        <v/>
      </c>
      <c r="M8" s="31">
        <f>IFERROR(J8/I8,"")</f>
        <v/>
      </c>
      <c r="N8" s="32">
        <f>IF(P8=0,"Sem lançamento",IF(AND(I8=0,J8=0),"—",IF(I8=0,"Não orçado",IF(K8&gt;0.05*I8,"Acima do orçado",IF(K8&lt;-0.05*I8,"Abaixo do orçado","Dentro do orçado")))))</f>
        <v/>
      </c>
      <c r="O8" s="27">
        <f>IF(K8&gt;1,K8+ROW()/1000000,"")</f>
        <v/>
      </c>
      <c r="P8" s="33">
        <f>SUMPRODUCT((COLUMN(Realizado!$H$4:$S$4)-COLUMN(Realizado!$H$4)+1&lt;=$D$3)*(Realizado!$H7:$S7&lt;&gt;""))</f>
        <v/>
      </c>
    </row>
    <row r="9" ht="24" customHeight="1">
      <c r="A9" s="28">
        <f>Planejado!A8</f>
        <v/>
      </c>
      <c r="B9" s="28">
        <f>Planejado!B8</f>
        <v/>
      </c>
      <c r="C9" s="28">
        <f>Planejado!C8</f>
        <v/>
      </c>
      <c r="D9" s="29">
        <f>Planejado!D8</f>
        <v/>
      </c>
      <c r="E9" s="28">
        <f>Planejado!G8</f>
        <v/>
      </c>
      <c r="F9" s="30">
        <f>INDEX(Planejado!$H8:$S8,$D$3)</f>
        <v/>
      </c>
      <c r="G9" s="30">
        <f>INDEX(Realizado!$H8:$S8,$D$3)</f>
        <v/>
      </c>
      <c r="H9" s="30">
        <f>G9-F9</f>
        <v/>
      </c>
      <c r="I9" s="30">
        <f>SUMPRODUCT((COLUMN(Planejado!$H$4:$S$4)-COLUMN(Planejado!$H$4)+1&lt;=$D$3)*Planejado!$H8:$S8)</f>
        <v/>
      </c>
      <c r="J9" s="30">
        <f>SUMPRODUCT((COLUMN(Realizado!$H$4:$S$4)-COLUMN(Realizado!$H$4)+1&lt;=$D$3)*Realizado!$H8:$S8)</f>
        <v/>
      </c>
      <c r="K9" s="30">
        <f>J9-I9</f>
        <v/>
      </c>
      <c r="L9" s="31">
        <f>IFERROR(K9/I9,"")</f>
        <v/>
      </c>
      <c r="M9" s="31">
        <f>IFERROR(J9/I9,"")</f>
        <v/>
      </c>
      <c r="N9" s="32">
        <f>IF(P9=0,"Sem lançamento",IF(AND(I9=0,J9=0),"—",IF(I9=0,"Não orçado",IF(K9&gt;0.05*I9,"Acima do orçado",IF(K9&lt;-0.05*I9,"Abaixo do orçado","Dentro do orçado")))))</f>
        <v/>
      </c>
      <c r="O9" s="27">
        <f>IF(K9&gt;1,K9+ROW()/1000000,"")</f>
        <v/>
      </c>
      <c r="P9" s="33">
        <f>SUMPRODUCT((COLUMN(Realizado!$H$4:$S$4)-COLUMN(Realizado!$H$4)+1&lt;=$D$3)*(Realizado!$H8:$S8&lt;&gt;""))</f>
        <v/>
      </c>
    </row>
    <row r="10" ht="24" customHeight="1">
      <c r="A10" s="28">
        <f>Planejado!A9</f>
        <v/>
      </c>
      <c r="B10" s="28">
        <f>Planejado!B9</f>
        <v/>
      </c>
      <c r="C10" s="28">
        <f>Planejado!C9</f>
        <v/>
      </c>
      <c r="D10" s="29">
        <f>Planejado!D9</f>
        <v/>
      </c>
      <c r="E10" s="28">
        <f>Planejado!G9</f>
        <v/>
      </c>
      <c r="F10" s="30">
        <f>INDEX(Planejado!$H9:$S9,$D$3)</f>
        <v/>
      </c>
      <c r="G10" s="30">
        <f>INDEX(Realizado!$H9:$S9,$D$3)</f>
        <v/>
      </c>
      <c r="H10" s="30">
        <f>G10-F10</f>
        <v/>
      </c>
      <c r="I10" s="30">
        <f>SUMPRODUCT((COLUMN(Planejado!$H$4:$S$4)-COLUMN(Planejado!$H$4)+1&lt;=$D$3)*Planejado!$H9:$S9)</f>
        <v/>
      </c>
      <c r="J10" s="30">
        <f>SUMPRODUCT((COLUMN(Realizado!$H$4:$S$4)-COLUMN(Realizado!$H$4)+1&lt;=$D$3)*Realizado!$H9:$S9)</f>
        <v/>
      </c>
      <c r="K10" s="30">
        <f>J10-I10</f>
        <v/>
      </c>
      <c r="L10" s="31">
        <f>IFERROR(K10/I10,"")</f>
        <v/>
      </c>
      <c r="M10" s="31">
        <f>IFERROR(J10/I10,"")</f>
        <v/>
      </c>
      <c r="N10" s="32">
        <f>IF(P10=0,"Sem lançamento",IF(AND(I10=0,J10=0),"—",IF(I10=0,"Não orçado",IF(K10&gt;0.05*I10,"Acima do orçado",IF(K10&lt;-0.05*I10,"Abaixo do orçado","Dentro do orçado")))))</f>
        <v/>
      </c>
      <c r="O10" s="27">
        <f>IF(K10&gt;1,K10+ROW()/1000000,"")</f>
        <v/>
      </c>
      <c r="P10" s="33">
        <f>SUMPRODUCT((COLUMN(Realizado!$H$4:$S$4)-COLUMN(Realizado!$H$4)+1&lt;=$D$3)*(Realizado!$H9:$S9&lt;&gt;""))</f>
        <v/>
      </c>
    </row>
    <row r="11" ht="24" customHeight="1">
      <c r="A11" s="28">
        <f>Planejado!A10</f>
        <v/>
      </c>
      <c r="B11" s="28">
        <f>Planejado!B10</f>
        <v/>
      </c>
      <c r="C11" s="28">
        <f>Planejado!C10</f>
        <v/>
      </c>
      <c r="D11" s="29">
        <f>Planejado!D10</f>
        <v/>
      </c>
      <c r="E11" s="28">
        <f>Planejado!G10</f>
        <v/>
      </c>
      <c r="F11" s="30">
        <f>INDEX(Planejado!$H10:$S10,$D$3)</f>
        <v/>
      </c>
      <c r="G11" s="30">
        <f>INDEX(Realizado!$H10:$S10,$D$3)</f>
        <v/>
      </c>
      <c r="H11" s="30">
        <f>G11-F11</f>
        <v/>
      </c>
      <c r="I11" s="30">
        <f>SUMPRODUCT((COLUMN(Planejado!$H$4:$S$4)-COLUMN(Planejado!$H$4)+1&lt;=$D$3)*Planejado!$H10:$S10)</f>
        <v/>
      </c>
      <c r="J11" s="30">
        <f>SUMPRODUCT((COLUMN(Realizado!$H$4:$S$4)-COLUMN(Realizado!$H$4)+1&lt;=$D$3)*Realizado!$H10:$S10)</f>
        <v/>
      </c>
      <c r="K11" s="30">
        <f>J11-I11</f>
        <v/>
      </c>
      <c r="L11" s="31">
        <f>IFERROR(K11/I11,"")</f>
        <v/>
      </c>
      <c r="M11" s="31">
        <f>IFERROR(J11/I11,"")</f>
        <v/>
      </c>
      <c r="N11" s="32">
        <f>IF(P11=0,"Sem lançamento",IF(AND(I11=0,J11=0),"—",IF(I11=0,"Não orçado",IF(K11&gt;0.05*I11,"Acima do orçado",IF(K11&lt;-0.05*I11,"Abaixo do orçado","Dentro do orçado")))))</f>
        <v/>
      </c>
      <c r="O11" s="27">
        <f>IF(K11&gt;1,K11+ROW()/1000000,"")</f>
        <v/>
      </c>
      <c r="P11" s="33">
        <f>SUMPRODUCT((COLUMN(Realizado!$H$4:$S$4)-COLUMN(Realizado!$H$4)+1&lt;=$D$3)*(Realizado!$H10:$S10&lt;&gt;""))</f>
        <v/>
      </c>
    </row>
    <row r="12" ht="24" customHeight="1">
      <c r="A12" s="28">
        <f>Planejado!A11</f>
        <v/>
      </c>
      <c r="B12" s="28">
        <f>Planejado!B11</f>
        <v/>
      </c>
      <c r="C12" s="28">
        <f>Planejado!C11</f>
        <v/>
      </c>
      <c r="D12" s="29">
        <f>Planejado!D11</f>
        <v/>
      </c>
      <c r="E12" s="28">
        <f>Planejado!G11</f>
        <v/>
      </c>
      <c r="F12" s="30">
        <f>INDEX(Planejado!$H11:$S11,$D$3)</f>
        <v/>
      </c>
      <c r="G12" s="30">
        <f>INDEX(Realizado!$H11:$S11,$D$3)</f>
        <v/>
      </c>
      <c r="H12" s="30">
        <f>G12-F12</f>
        <v/>
      </c>
      <c r="I12" s="30">
        <f>SUMPRODUCT((COLUMN(Planejado!$H$4:$S$4)-COLUMN(Planejado!$H$4)+1&lt;=$D$3)*Planejado!$H11:$S11)</f>
        <v/>
      </c>
      <c r="J12" s="30">
        <f>SUMPRODUCT((COLUMN(Realizado!$H$4:$S$4)-COLUMN(Realizado!$H$4)+1&lt;=$D$3)*Realizado!$H11:$S11)</f>
        <v/>
      </c>
      <c r="K12" s="30">
        <f>J12-I12</f>
        <v/>
      </c>
      <c r="L12" s="31">
        <f>IFERROR(K12/I12,"")</f>
        <v/>
      </c>
      <c r="M12" s="31">
        <f>IFERROR(J12/I12,"")</f>
        <v/>
      </c>
      <c r="N12" s="32">
        <f>IF(P12=0,"Sem lançamento",IF(AND(I12=0,J12=0),"—",IF(I12=0,"Não orçado",IF(K12&gt;0.05*I12,"Acima do orçado",IF(K12&lt;-0.05*I12,"Abaixo do orçado","Dentro do orçado")))))</f>
        <v/>
      </c>
      <c r="O12" s="27">
        <f>IF(K12&gt;1,K12+ROW()/1000000,"")</f>
        <v/>
      </c>
      <c r="P12" s="33">
        <f>SUMPRODUCT((COLUMN(Realizado!$H$4:$S$4)-COLUMN(Realizado!$H$4)+1&lt;=$D$3)*(Realizado!$H11:$S11&lt;&gt;""))</f>
        <v/>
      </c>
    </row>
    <row r="13" ht="24" customHeight="1">
      <c r="A13" s="28">
        <f>Planejado!A12</f>
        <v/>
      </c>
      <c r="B13" s="28">
        <f>Planejado!B12</f>
        <v/>
      </c>
      <c r="C13" s="28">
        <f>Planejado!C12</f>
        <v/>
      </c>
      <c r="D13" s="29">
        <f>Planejado!D12</f>
        <v/>
      </c>
      <c r="E13" s="28">
        <f>Planejado!G12</f>
        <v/>
      </c>
      <c r="F13" s="30">
        <f>INDEX(Planejado!$H12:$S12,$D$3)</f>
        <v/>
      </c>
      <c r="G13" s="30">
        <f>INDEX(Realizado!$H12:$S12,$D$3)</f>
        <v/>
      </c>
      <c r="H13" s="30">
        <f>G13-F13</f>
        <v/>
      </c>
      <c r="I13" s="30">
        <f>SUMPRODUCT((COLUMN(Planejado!$H$4:$S$4)-COLUMN(Planejado!$H$4)+1&lt;=$D$3)*Planejado!$H12:$S12)</f>
        <v/>
      </c>
      <c r="J13" s="30">
        <f>SUMPRODUCT((COLUMN(Realizado!$H$4:$S$4)-COLUMN(Realizado!$H$4)+1&lt;=$D$3)*Realizado!$H12:$S12)</f>
        <v/>
      </c>
      <c r="K13" s="30">
        <f>J13-I13</f>
        <v/>
      </c>
      <c r="L13" s="31">
        <f>IFERROR(K13/I13,"")</f>
        <v/>
      </c>
      <c r="M13" s="31">
        <f>IFERROR(J13/I13,"")</f>
        <v/>
      </c>
      <c r="N13" s="32">
        <f>IF(P13=0,"Sem lançamento",IF(AND(I13=0,J13=0),"—",IF(I13=0,"Não orçado",IF(K13&gt;0.05*I13,"Acima do orçado",IF(K13&lt;-0.05*I13,"Abaixo do orçado","Dentro do orçado")))))</f>
        <v/>
      </c>
      <c r="O13" s="27">
        <f>IF(K13&gt;1,K13+ROW()/1000000,"")</f>
        <v/>
      </c>
      <c r="P13" s="33">
        <f>SUMPRODUCT((COLUMN(Realizado!$H$4:$S$4)-COLUMN(Realizado!$H$4)+1&lt;=$D$3)*(Realizado!$H12:$S12&lt;&gt;""))</f>
        <v/>
      </c>
    </row>
    <row r="14" ht="24" customHeight="1">
      <c r="A14" s="28">
        <f>Planejado!A13</f>
        <v/>
      </c>
      <c r="B14" s="28">
        <f>Planejado!B13</f>
        <v/>
      </c>
      <c r="C14" s="28">
        <f>Planejado!C13</f>
        <v/>
      </c>
      <c r="D14" s="29">
        <f>Planejado!D13</f>
        <v/>
      </c>
      <c r="E14" s="28">
        <f>Planejado!G13</f>
        <v/>
      </c>
      <c r="F14" s="30">
        <f>INDEX(Planejado!$H13:$S13,$D$3)</f>
        <v/>
      </c>
      <c r="G14" s="30">
        <f>INDEX(Realizado!$H13:$S13,$D$3)</f>
        <v/>
      </c>
      <c r="H14" s="30">
        <f>G14-F14</f>
        <v/>
      </c>
      <c r="I14" s="30">
        <f>SUMPRODUCT((COLUMN(Planejado!$H$4:$S$4)-COLUMN(Planejado!$H$4)+1&lt;=$D$3)*Planejado!$H13:$S13)</f>
        <v/>
      </c>
      <c r="J14" s="30">
        <f>SUMPRODUCT((COLUMN(Realizado!$H$4:$S$4)-COLUMN(Realizado!$H$4)+1&lt;=$D$3)*Realizado!$H13:$S13)</f>
        <v/>
      </c>
      <c r="K14" s="30">
        <f>J14-I14</f>
        <v/>
      </c>
      <c r="L14" s="31">
        <f>IFERROR(K14/I14,"")</f>
        <v/>
      </c>
      <c r="M14" s="31">
        <f>IFERROR(J14/I14,"")</f>
        <v/>
      </c>
      <c r="N14" s="32">
        <f>IF(P14=0,"Sem lançamento",IF(AND(I14=0,J14=0),"—",IF(I14=0,"Não orçado",IF(K14&gt;0.05*I14,"Acima do orçado",IF(K14&lt;-0.05*I14,"Abaixo do orçado","Dentro do orçado")))))</f>
        <v/>
      </c>
      <c r="O14" s="27">
        <f>IF(K14&gt;1,K14+ROW()/1000000,"")</f>
        <v/>
      </c>
      <c r="P14" s="33">
        <f>SUMPRODUCT((COLUMN(Realizado!$H$4:$S$4)-COLUMN(Realizado!$H$4)+1&lt;=$D$3)*(Realizado!$H13:$S13&lt;&gt;""))</f>
        <v/>
      </c>
    </row>
    <row r="15" ht="24" customHeight="1">
      <c r="A15" s="28">
        <f>Planejado!A14</f>
        <v/>
      </c>
      <c r="B15" s="28">
        <f>Planejado!B14</f>
        <v/>
      </c>
      <c r="C15" s="28">
        <f>Planejado!C14</f>
        <v/>
      </c>
      <c r="D15" s="29">
        <f>Planejado!D14</f>
        <v/>
      </c>
      <c r="E15" s="28">
        <f>Planejado!G14</f>
        <v/>
      </c>
      <c r="F15" s="30">
        <f>INDEX(Planejado!$H14:$S14,$D$3)</f>
        <v/>
      </c>
      <c r="G15" s="30">
        <f>INDEX(Realizado!$H14:$S14,$D$3)</f>
        <v/>
      </c>
      <c r="H15" s="30">
        <f>G15-F15</f>
        <v/>
      </c>
      <c r="I15" s="30">
        <f>SUMPRODUCT((COLUMN(Planejado!$H$4:$S$4)-COLUMN(Planejado!$H$4)+1&lt;=$D$3)*Planejado!$H14:$S14)</f>
        <v/>
      </c>
      <c r="J15" s="30">
        <f>SUMPRODUCT((COLUMN(Realizado!$H$4:$S$4)-COLUMN(Realizado!$H$4)+1&lt;=$D$3)*Realizado!$H14:$S14)</f>
        <v/>
      </c>
      <c r="K15" s="30">
        <f>J15-I15</f>
        <v/>
      </c>
      <c r="L15" s="31">
        <f>IFERROR(K15/I15,"")</f>
        <v/>
      </c>
      <c r="M15" s="31">
        <f>IFERROR(J15/I15,"")</f>
        <v/>
      </c>
      <c r="N15" s="32">
        <f>IF(P15=0,"Sem lançamento",IF(AND(I15=0,J15=0),"—",IF(I15=0,"Não orçado",IF(K15&gt;0.05*I15,"Acima do orçado",IF(K15&lt;-0.05*I15,"Abaixo do orçado","Dentro do orçado")))))</f>
        <v/>
      </c>
      <c r="O15" s="27">
        <f>IF(K15&gt;1,K15+ROW()/1000000,"")</f>
        <v/>
      </c>
      <c r="P15" s="33">
        <f>SUMPRODUCT((COLUMN(Realizado!$H$4:$S$4)-COLUMN(Realizado!$H$4)+1&lt;=$D$3)*(Realizado!$H14:$S14&lt;&gt;""))</f>
        <v/>
      </c>
    </row>
    <row r="16" ht="24" customHeight="1">
      <c r="A16" s="34">
        <f>Planejado!A15</f>
        <v/>
      </c>
      <c r="B16" s="34">
        <f>Planejado!B15</f>
        <v/>
      </c>
      <c r="C16" s="34">
        <f>Planejado!C15</f>
        <v/>
      </c>
      <c r="D16" s="35">
        <f>Planejado!D15</f>
        <v/>
      </c>
      <c r="E16" s="34">
        <f>Planejado!G15</f>
        <v/>
      </c>
      <c r="F16" s="36">
        <f>INDEX(Planejado!$H15:$S15,$D$3)</f>
        <v/>
      </c>
      <c r="G16" s="36">
        <f>INDEX(Realizado!$H15:$S15,$D$3)</f>
        <v/>
      </c>
      <c r="H16" s="36">
        <f>G16-F16</f>
        <v/>
      </c>
      <c r="I16" s="36">
        <f>SUMPRODUCT((COLUMN(Planejado!$H$4:$S$4)-COLUMN(Planejado!$H$4)+1&lt;=$D$3)*Planejado!$H15:$S15)</f>
        <v/>
      </c>
      <c r="J16" s="36">
        <f>SUMPRODUCT((COLUMN(Realizado!$H$4:$S$4)-COLUMN(Realizado!$H$4)+1&lt;=$D$3)*Realizado!$H15:$S15)</f>
        <v/>
      </c>
      <c r="K16" s="36">
        <f>J16-I16</f>
        <v/>
      </c>
      <c r="L16" s="37">
        <f>IFERROR(K16/I16,"")</f>
        <v/>
      </c>
      <c r="M16" s="37">
        <f>IFERROR(J16/I16,"")</f>
        <v/>
      </c>
      <c r="N16" s="38">
        <f>IF(P16=0,"Sem lançamento",IF(AND(I16=0,J16=0),"—",IF(I16=0,"Não orçado",IF(K16&gt;0.05*I16,"Acima do orçado",IF(K16&lt;-0.05*I16,"Abaixo do orçado","Dentro do orçado")))))</f>
        <v/>
      </c>
      <c r="O16" s="27">
        <f>IF(K16&gt;1,K16+ROW()/1000000,"")</f>
        <v/>
      </c>
      <c r="P16" s="39">
        <f>SUMPRODUCT((COLUMN(Realizado!$H$4:$S$4)-COLUMN(Realizado!$H$4)+1&lt;=$D$3)*(Realizado!$H15:$S15&lt;&gt;""))</f>
        <v/>
      </c>
    </row>
    <row r="17" ht="24" customHeight="1">
      <c r="A17" s="34">
        <f>Planejado!A16</f>
        <v/>
      </c>
      <c r="B17" s="34">
        <f>Planejado!B16</f>
        <v/>
      </c>
      <c r="C17" s="34">
        <f>Planejado!C16</f>
        <v/>
      </c>
      <c r="D17" s="35">
        <f>Planejado!D16</f>
        <v/>
      </c>
      <c r="E17" s="34">
        <f>Planejado!G16</f>
        <v/>
      </c>
      <c r="F17" s="36">
        <f>INDEX(Planejado!$H16:$S16,$D$3)</f>
        <v/>
      </c>
      <c r="G17" s="36">
        <f>INDEX(Realizado!$H16:$S16,$D$3)</f>
        <v/>
      </c>
      <c r="H17" s="36">
        <f>G17-F17</f>
        <v/>
      </c>
      <c r="I17" s="36">
        <f>SUMPRODUCT((COLUMN(Planejado!$H$4:$S$4)-COLUMN(Planejado!$H$4)+1&lt;=$D$3)*Planejado!$H16:$S16)</f>
        <v/>
      </c>
      <c r="J17" s="36">
        <f>SUMPRODUCT((COLUMN(Realizado!$H$4:$S$4)-COLUMN(Realizado!$H$4)+1&lt;=$D$3)*Realizado!$H16:$S16)</f>
        <v/>
      </c>
      <c r="K17" s="36">
        <f>J17-I17</f>
        <v/>
      </c>
      <c r="L17" s="37">
        <f>IFERROR(K17/I17,"")</f>
        <v/>
      </c>
      <c r="M17" s="37">
        <f>IFERROR(J17/I17,"")</f>
        <v/>
      </c>
      <c r="N17" s="38">
        <f>IF(P17=0,"Sem lançamento",IF(AND(I17=0,J17=0),"—",IF(I17=0,"Não orçado",IF(K17&gt;0.05*I17,"Acima do orçado",IF(K17&lt;-0.05*I17,"Abaixo do orçado","Dentro do orçado")))))</f>
        <v/>
      </c>
      <c r="O17" s="27">
        <f>IF(K17&gt;1,K17+ROW()/1000000,"")</f>
        <v/>
      </c>
      <c r="P17" s="39">
        <f>SUMPRODUCT((COLUMN(Realizado!$H$4:$S$4)-COLUMN(Realizado!$H$4)+1&lt;=$D$3)*(Realizado!$H16:$S16&lt;&gt;""))</f>
        <v/>
      </c>
    </row>
    <row r="18" ht="24" customHeight="1">
      <c r="A18" s="34">
        <f>Planejado!A17</f>
        <v/>
      </c>
      <c r="B18" s="34">
        <f>Planejado!B17</f>
        <v/>
      </c>
      <c r="C18" s="34">
        <f>Planejado!C17</f>
        <v/>
      </c>
      <c r="D18" s="35">
        <f>Planejado!D17</f>
        <v/>
      </c>
      <c r="E18" s="34">
        <f>Planejado!G17</f>
        <v/>
      </c>
      <c r="F18" s="36">
        <f>INDEX(Planejado!$H17:$S17,$D$3)</f>
        <v/>
      </c>
      <c r="G18" s="36">
        <f>INDEX(Realizado!$H17:$S17,$D$3)</f>
        <v/>
      </c>
      <c r="H18" s="36">
        <f>G18-F18</f>
        <v/>
      </c>
      <c r="I18" s="36">
        <f>SUMPRODUCT((COLUMN(Planejado!$H$4:$S$4)-COLUMN(Planejado!$H$4)+1&lt;=$D$3)*Planejado!$H17:$S17)</f>
        <v/>
      </c>
      <c r="J18" s="36">
        <f>SUMPRODUCT((COLUMN(Realizado!$H$4:$S$4)-COLUMN(Realizado!$H$4)+1&lt;=$D$3)*Realizado!$H17:$S17)</f>
        <v/>
      </c>
      <c r="K18" s="36">
        <f>J18-I18</f>
        <v/>
      </c>
      <c r="L18" s="37">
        <f>IFERROR(K18/I18,"")</f>
        <v/>
      </c>
      <c r="M18" s="37">
        <f>IFERROR(J18/I18,"")</f>
        <v/>
      </c>
      <c r="N18" s="38">
        <f>IF(P18=0,"Sem lançamento",IF(AND(I18=0,J18=0),"—",IF(I18=0,"Não orçado",IF(K18&gt;0.05*I18,"Acima do orçado",IF(K18&lt;-0.05*I18,"Abaixo do orçado","Dentro do orçado")))))</f>
        <v/>
      </c>
      <c r="O18" s="27">
        <f>IF(K18&gt;1,K18+ROW()/1000000,"")</f>
        <v/>
      </c>
      <c r="P18" s="39">
        <f>SUMPRODUCT((COLUMN(Realizado!$H$4:$S$4)-COLUMN(Realizado!$H$4)+1&lt;=$D$3)*(Realizado!$H17:$S17&lt;&gt;""))</f>
        <v/>
      </c>
    </row>
    <row r="19" ht="24" customHeight="1">
      <c r="A19" s="34">
        <f>Planejado!A18</f>
        <v/>
      </c>
      <c r="B19" s="34">
        <f>Planejado!B18</f>
        <v/>
      </c>
      <c r="C19" s="34">
        <f>Planejado!C18</f>
        <v/>
      </c>
      <c r="D19" s="35">
        <f>Planejado!D18</f>
        <v/>
      </c>
      <c r="E19" s="34">
        <f>Planejado!G18</f>
        <v/>
      </c>
      <c r="F19" s="36">
        <f>INDEX(Planejado!$H18:$S18,$D$3)</f>
        <v/>
      </c>
      <c r="G19" s="36">
        <f>INDEX(Realizado!$H18:$S18,$D$3)</f>
        <v/>
      </c>
      <c r="H19" s="36">
        <f>G19-F19</f>
        <v/>
      </c>
      <c r="I19" s="36">
        <f>SUMPRODUCT((COLUMN(Planejado!$H$4:$S$4)-COLUMN(Planejado!$H$4)+1&lt;=$D$3)*Planejado!$H18:$S18)</f>
        <v/>
      </c>
      <c r="J19" s="36">
        <f>SUMPRODUCT((COLUMN(Realizado!$H$4:$S$4)-COLUMN(Realizado!$H$4)+1&lt;=$D$3)*Realizado!$H18:$S18)</f>
        <v/>
      </c>
      <c r="K19" s="36">
        <f>J19-I19</f>
        <v/>
      </c>
      <c r="L19" s="37">
        <f>IFERROR(K19/I19,"")</f>
        <v/>
      </c>
      <c r="M19" s="37">
        <f>IFERROR(J19/I19,"")</f>
        <v/>
      </c>
      <c r="N19" s="38">
        <f>IF(P19=0,"Sem lançamento",IF(AND(I19=0,J19=0),"—",IF(I19=0,"Não orçado",IF(K19&gt;0.05*I19,"Acima do orçado",IF(K19&lt;-0.05*I19,"Abaixo do orçado","Dentro do orçado")))))</f>
        <v/>
      </c>
      <c r="O19" s="27">
        <f>IF(K19&gt;1,K19+ROW()/1000000,"")</f>
        <v/>
      </c>
      <c r="P19" s="39">
        <f>SUMPRODUCT((COLUMN(Realizado!$H$4:$S$4)-COLUMN(Realizado!$H$4)+1&lt;=$D$3)*(Realizado!$H18:$S18&lt;&gt;""))</f>
        <v/>
      </c>
    </row>
    <row r="20" ht="24" customHeight="1">
      <c r="A20" s="34">
        <f>Planejado!A19</f>
        <v/>
      </c>
      <c r="B20" s="34">
        <f>Planejado!B19</f>
        <v/>
      </c>
      <c r="C20" s="34">
        <f>Planejado!C19</f>
        <v/>
      </c>
      <c r="D20" s="35">
        <f>Planejado!D19</f>
        <v/>
      </c>
      <c r="E20" s="34">
        <f>Planejado!G19</f>
        <v/>
      </c>
      <c r="F20" s="36">
        <f>INDEX(Planejado!$H19:$S19,$D$3)</f>
        <v/>
      </c>
      <c r="G20" s="36">
        <f>INDEX(Realizado!$H19:$S19,$D$3)</f>
        <v/>
      </c>
      <c r="H20" s="36">
        <f>G20-F20</f>
        <v/>
      </c>
      <c r="I20" s="36">
        <f>SUMPRODUCT((COLUMN(Planejado!$H$4:$S$4)-COLUMN(Planejado!$H$4)+1&lt;=$D$3)*Planejado!$H19:$S19)</f>
        <v/>
      </c>
      <c r="J20" s="36">
        <f>SUMPRODUCT((COLUMN(Realizado!$H$4:$S$4)-COLUMN(Realizado!$H$4)+1&lt;=$D$3)*Realizado!$H19:$S19)</f>
        <v/>
      </c>
      <c r="K20" s="36">
        <f>J20-I20</f>
        <v/>
      </c>
      <c r="L20" s="37">
        <f>IFERROR(K20/I20,"")</f>
        <v/>
      </c>
      <c r="M20" s="37">
        <f>IFERROR(J20/I20,"")</f>
        <v/>
      </c>
      <c r="N20" s="38">
        <f>IF(P20=0,"Sem lançamento",IF(AND(I20=0,J20=0),"—",IF(I20=0,"Não orçado",IF(K20&gt;0.05*I20,"Acima do orçado",IF(K20&lt;-0.05*I20,"Abaixo do orçado","Dentro do orçado")))))</f>
        <v/>
      </c>
      <c r="O20" s="27">
        <f>IF(K20&gt;1,K20+ROW()/1000000,"")</f>
        <v/>
      </c>
      <c r="P20" s="39">
        <f>SUMPRODUCT((COLUMN(Realizado!$H$4:$S$4)-COLUMN(Realizado!$H$4)+1&lt;=$D$3)*(Realizado!$H19:$S19&lt;&gt;""))</f>
        <v/>
      </c>
    </row>
    <row r="21" ht="24" customHeight="1">
      <c r="A21" s="34">
        <f>Planejado!A20</f>
        <v/>
      </c>
      <c r="B21" s="34">
        <f>Planejado!B20</f>
        <v/>
      </c>
      <c r="C21" s="34">
        <f>Planejado!C20</f>
        <v/>
      </c>
      <c r="D21" s="35">
        <f>Planejado!D20</f>
        <v/>
      </c>
      <c r="E21" s="34">
        <f>Planejado!G20</f>
        <v/>
      </c>
      <c r="F21" s="36">
        <f>INDEX(Planejado!$H20:$S20,$D$3)</f>
        <v/>
      </c>
      <c r="G21" s="36">
        <f>INDEX(Realizado!$H20:$S20,$D$3)</f>
        <v/>
      </c>
      <c r="H21" s="36">
        <f>G21-F21</f>
        <v/>
      </c>
      <c r="I21" s="36">
        <f>SUMPRODUCT((COLUMN(Planejado!$H$4:$S$4)-COLUMN(Planejado!$H$4)+1&lt;=$D$3)*Planejado!$H20:$S20)</f>
        <v/>
      </c>
      <c r="J21" s="36">
        <f>SUMPRODUCT((COLUMN(Realizado!$H$4:$S$4)-COLUMN(Realizado!$H$4)+1&lt;=$D$3)*Realizado!$H20:$S20)</f>
        <v/>
      </c>
      <c r="K21" s="36">
        <f>J21-I21</f>
        <v/>
      </c>
      <c r="L21" s="37">
        <f>IFERROR(K21/I21,"")</f>
        <v/>
      </c>
      <c r="M21" s="37">
        <f>IFERROR(J21/I21,"")</f>
        <v/>
      </c>
      <c r="N21" s="38">
        <f>IF(P21=0,"Sem lançamento",IF(AND(I21=0,J21=0),"—",IF(I21=0,"Não orçado",IF(K21&gt;0.05*I21,"Acima do orçado",IF(K21&lt;-0.05*I21,"Abaixo do orçado","Dentro do orçado")))))</f>
        <v/>
      </c>
      <c r="O21" s="27">
        <f>IF(K21&gt;1,K21+ROW()/1000000,"")</f>
        <v/>
      </c>
      <c r="P21" s="39">
        <f>SUMPRODUCT((COLUMN(Realizado!$H$4:$S$4)-COLUMN(Realizado!$H$4)+1&lt;=$D$3)*(Realizado!$H20:$S20&lt;&gt;""))</f>
        <v/>
      </c>
    </row>
    <row r="22" ht="24" customHeight="1">
      <c r="A22" s="34">
        <f>Planejado!A21</f>
        <v/>
      </c>
      <c r="B22" s="34">
        <f>Planejado!B21</f>
        <v/>
      </c>
      <c r="C22" s="34">
        <f>Planejado!C21</f>
        <v/>
      </c>
      <c r="D22" s="35">
        <f>Planejado!D21</f>
        <v/>
      </c>
      <c r="E22" s="34">
        <f>Planejado!G21</f>
        <v/>
      </c>
      <c r="F22" s="36">
        <f>INDEX(Planejado!$H21:$S21,$D$3)</f>
        <v/>
      </c>
      <c r="G22" s="36">
        <f>INDEX(Realizado!$H21:$S21,$D$3)</f>
        <v/>
      </c>
      <c r="H22" s="36">
        <f>G22-F22</f>
        <v/>
      </c>
      <c r="I22" s="36">
        <f>SUMPRODUCT((COLUMN(Planejado!$H$4:$S$4)-COLUMN(Planejado!$H$4)+1&lt;=$D$3)*Planejado!$H21:$S21)</f>
        <v/>
      </c>
      <c r="J22" s="36">
        <f>SUMPRODUCT((COLUMN(Realizado!$H$4:$S$4)-COLUMN(Realizado!$H$4)+1&lt;=$D$3)*Realizado!$H21:$S21)</f>
        <v/>
      </c>
      <c r="K22" s="36">
        <f>J22-I22</f>
        <v/>
      </c>
      <c r="L22" s="37">
        <f>IFERROR(K22/I22,"")</f>
        <v/>
      </c>
      <c r="M22" s="37">
        <f>IFERROR(J22/I22,"")</f>
        <v/>
      </c>
      <c r="N22" s="38">
        <f>IF(P22=0,"Sem lançamento",IF(AND(I22=0,J22=0),"—",IF(I22=0,"Não orçado",IF(K22&gt;0.05*I22,"Acima do orçado",IF(K22&lt;-0.05*I22,"Abaixo do orçado","Dentro do orçado")))))</f>
        <v/>
      </c>
      <c r="O22" s="27">
        <f>IF(K22&gt;1,K22+ROW()/1000000,"")</f>
        <v/>
      </c>
      <c r="P22" s="39">
        <f>SUMPRODUCT((COLUMN(Realizado!$H$4:$S$4)-COLUMN(Realizado!$H$4)+1&lt;=$D$3)*(Realizado!$H21:$S21&lt;&gt;""))</f>
        <v/>
      </c>
    </row>
    <row r="23" ht="24" customHeight="1">
      <c r="A23" s="34">
        <f>Planejado!A22</f>
        <v/>
      </c>
      <c r="B23" s="34">
        <f>Planejado!B22</f>
        <v/>
      </c>
      <c r="C23" s="34">
        <f>Planejado!C22</f>
        <v/>
      </c>
      <c r="D23" s="35">
        <f>Planejado!D22</f>
        <v/>
      </c>
      <c r="E23" s="34">
        <f>Planejado!G22</f>
        <v/>
      </c>
      <c r="F23" s="36">
        <f>INDEX(Planejado!$H22:$S22,$D$3)</f>
        <v/>
      </c>
      <c r="G23" s="36">
        <f>INDEX(Realizado!$H22:$S22,$D$3)</f>
        <v/>
      </c>
      <c r="H23" s="36">
        <f>G23-F23</f>
        <v/>
      </c>
      <c r="I23" s="36">
        <f>SUMPRODUCT((COLUMN(Planejado!$H$4:$S$4)-COLUMN(Planejado!$H$4)+1&lt;=$D$3)*Planejado!$H22:$S22)</f>
        <v/>
      </c>
      <c r="J23" s="36">
        <f>SUMPRODUCT((COLUMN(Realizado!$H$4:$S$4)-COLUMN(Realizado!$H$4)+1&lt;=$D$3)*Realizado!$H22:$S22)</f>
        <v/>
      </c>
      <c r="K23" s="36">
        <f>J23-I23</f>
        <v/>
      </c>
      <c r="L23" s="37">
        <f>IFERROR(K23/I23,"")</f>
        <v/>
      </c>
      <c r="M23" s="37">
        <f>IFERROR(J23/I23,"")</f>
        <v/>
      </c>
      <c r="N23" s="38">
        <f>IF(P23=0,"Sem lançamento",IF(AND(I23=0,J23=0),"—",IF(I23=0,"Não orçado",IF(K23&gt;0.05*I23,"Acima do orçado",IF(K23&lt;-0.05*I23,"Abaixo do orçado","Dentro do orçado")))))</f>
        <v/>
      </c>
      <c r="O23" s="27">
        <f>IF(K23&gt;1,K23+ROW()/1000000,"")</f>
        <v/>
      </c>
      <c r="P23" s="39">
        <f>SUMPRODUCT((COLUMN(Realizado!$H$4:$S$4)-COLUMN(Realizado!$H$4)+1&lt;=$D$3)*(Realizado!$H22:$S22&lt;&gt;""))</f>
        <v/>
      </c>
    </row>
    <row r="24" ht="24" customHeight="1">
      <c r="A24" s="34">
        <f>Planejado!A23</f>
        <v/>
      </c>
      <c r="B24" s="34">
        <f>Planejado!B23</f>
        <v/>
      </c>
      <c r="C24" s="34">
        <f>Planejado!C23</f>
        <v/>
      </c>
      <c r="D24" s="35">
        <f>Planejado!D23</f>
        <v/>
      </c>
      <c r="E24" s="34">
        <f>Planejado!G23</f>
        <v/>
      </c>
      <c r="F24" s="36">
        <f>INDEX(Planejado!$H23:$S23,$D$3)</f>
        <v/>
      </c>
      <c r="G24" s="36">
        <f>INDEX(Realizado!$H23:$S23,$D$3)</f>
        <v/>
      </c>
      <c r="H24" s="36">
        <f>G24-F24</f>
        <v/>
      </c>
      <c r="I24" s="36">
        <f>SUMPRODUCT((COLUMN(Planejado!$H$4:$S$4)-COLUMN(Planejado!$H$4)+1&lt;=$D$3)*Planejado!$H23:$S23)</f>
        <v/>
      </c>
      <c r="J24" s="36">
        <f>SUMPRODUCT((COLUMN(Realizado!$H$4:$S$4)-COLUMN(Realizado!$H$4)+1&lt;=$D$3)*Realizado!$H23:$S23)</f>
        <v/>
      </c>
      <c r="K24" s="36">
        <f>J24-I24</f>
        <v/>
      </c>
      <c r="L24" s="37">
        <f>IFERROR(K24/I24,"")</f>
        <v/>
      </c>
      <c r="M24" s="37">
        <f>IFERROR(J24/I24,"")</f>
        <v/>
      </c>
      <c r="N24" s="38">
        <f>IF(P24=0,"Sem lançamento",IF(AND(I24=0,J24=0),"—",IF(I24=0,"Não orçado",IF(K24&gt;0.05*I24,"Acima do orçado",IF(K24&lt;-0.05*I24,"Abaixo do orçado","Dentro do orçado")))))</f>
        <v/>
      </c>
      <c r="O24" s="27">
        <f>IF(K24&gt;1,K24+ROW()/1000000,"")</f>
        <v/>
      </c>
      <c r="P24" s="39">
        <f>SUMPRODUCT((COLUMN(Realizado!$H$4:$S$4)-COLUMN(Realizado!$H$4)+1&lt;=$D$3)*(Realizado!$H23:$S23&lt;&gt;""))</f>
        <v/>
      </c>
    </row>
    <row r="25" ht="24" customHeight="1">
      <c r="A25" s="34">
        <f>Planejado!A24</f>
        <v/>
      </c>
      <c r="B25" s="34">
        <f>Planejado!B24</f>
        <v/>
      </c>
      <c r="C25" s="34">
        <f>Planejado!C24</f>
        <v/>
      </c>
      <c r="D25" s="35">
        <f>Planejado!D24</f>
        <v/>
      </c>
      <c r="E25" s="34">
        <f>Planejado!G24</f>
        <v/>
      </c>
      <c r="F25" s="36">
        <f>INDEX(Planejado!$H24:$S24,$D$3)</f>
        <v/>
      </c>
      <c r="G25" s="36">
        <f>INDEX(Realizado!$H24:$S24,$D$3)</f>
        <v/>
      </c>
      <c r="H25" s="36">
        <f>G25-F25</f>
        <v/>
      </c>
      <c r="I25" s="36">
        <f>SUMPRODUCT((COLUMN(Planejado!$H$4:$S$4)-COLUMN(Planejado!$H$4)+1&lt;=$D$3)*Planejado!$H24:$S24)</f>
        <v/>
      </c>
      <c r="J25" s="36">
        <f>SUMPRODUCT((COLUMN(Realizado!$H$4:$S$4)-COLUMN(Realizado!$H$4)+1&lt;=$D$3)*Realizado!$H24:$S24)</f>
        <v/>
      </c>
      <c r="K25" s="36">
        <f>J25-I25</f>
        <v/>
      </c>
      <c r="L25" s="37">
        <f>IFERROR(K25/I25,"")</f>
        <v/>
      </c>
      <c r="M25" s="37">
        <f>IFERROR(J25/I25,"")</f>
        <v/>
      </c>
      <c r="N25" s="38">
        <f>IF(P25=0,"Sem lançamento",IF(AND(I25=0,J25=0),"—",IF(I25=0,"Não orçado",IF(K25&gt;0.05*I25,"Acima do orçado",IF(K25&lt;-0.05*I25,"Abaixo do orçado","Dentro do orçado")))))</f>
        <v/>
      </c>
      <c r="O25" s="27">
        <f>IF(K25&gt;1,K25+ROW()/1000000,"")</f>
        <v/>
      </c>
      <c r="P25" s="39">
        <f>SUMPRODUCT((COLUMN(Realizado!$H$4:$S$4)-COLUMN(Realizado!$H$4)+1&lt;=$D$3)*(Realizado!$H24:$S24&lt;&gt;""))</f>
        <v/>
      </c>
    </row>
    <row r="26" ht="24" customHeight="1">
      <c r="A26" s="34">
        <f>Planejado!A25</f>
        <v/>
      </c>
      <c r="B26" s="34">
        <f>Planejado!B25</f>
        <v/>
      </c>
      <c r="C26" s="34">
        <f>Planejado!C25</f>
        <v/>
      </c>
      <c r="D26" s="35">
        <f>Planejado!D25</f>
        <v/>
      </c>
      <c r="E26" s="34">
        <f>Planejado!G25</f>
        <v/>
      </c>
      <c r="F26" s="36">
        <f>INDEX(Planejado!$H25:$S25,$D$3)</f>
        <v/>
      </c>
      <c r="G26" s="36">
        <f>INDEX(Realizado!$H25:$S25,$D$3)</f>
        <v/>
      </c>
      <c r="H26" s="36">
        <f>G26-F26</f>
        <v/>
      </c>
      <c r="I26" s="36">
        <f>SUMPRODUCT((COLUMN(Planejado!$H$4:$S$4)-COLUMN(Planejado!$H$4)+1&lt;=$D$3)*Planejado!$H25:$S25)</f>
        <v/>
      </c>
      <c r="J26" s="36">
        <f>SUMPRODUCT((COLUMN(Realizado!$H$4:$S$4)-COLUMN(Realizado!$H$4)+1&lt;=$D$3)*Realizado!$H25:$S25)</f>
        <v/>
      </c>
      <c r="K26" s="36">
        <f>J26-I26</f>
        <v/>
      </c>
      <c r="L26" s="37">
        <f>IFERROR(K26/I26,"")</f>
        <v/>
      </c>
      <c r="M26" s="37">
        <f>IFERROR(J26/I26,"")</f>
        <v/>
      </c>
      <c r="N26" s="38">
        <f>IF(P26=0,"Sem lançamento",IF(AND(I26=0,J26=0),"—",IF(I26=0,"Não orçado",IF(K26&gt;0.05*I26,"Acima do orçado",IF(K26&lt;-0.05*I26,"Abaixo do orçado","Dentro do orçado")))))</f>
        <v/>
      </c>
      <c r="O26" s="27">
        <f>IF(K26&gt;1,K26+ROW()/1000000,"")</f>
        <v/>
      </c>
      <c r="P26" s="39">
        <f>SUMPRODUCT((COLUMN(Realizado!$H$4:$S$4)-COLUMN(Realizado!$H$4)+1&lt;=$D$3)*(Realizado!$H25:$S25&lt;&gt;""))</f>
        <v/>
      </c>
    </row>
    <row r="27" ht="24" customHeight="1">
      <c r="A27" s="34">
        <f>Planejado!A26</f>
        <v/>
      </c>
      <c r="B27" s="34">
        <f>Planejado!B26</f>
        <v/>
      </c>
      <c r="C27" s="34">
        <f>Planejado!C26</f>
        <v/>
      </c>
      <c r="D27" s="35">
        <f>Planejado!D26</f>
        <v/>
      </c>
      <c r="E27" s="34">
        <f>Planejado!G26</f>
        <v/>
      </c>
      <c r="F27" s="36">
        <f>INDEX(Planejado!$H26:$S26,$D$3)</f>
        <v/>
      </c>
      <c r="G27" s="36">
        <f>INDEX(Realizado!$H26:$S26,$D$3)</f>
        <v/>
      </c>
      <c r="H27" s="36">
        <f>G27-F27</f>
        <v/>
      </c>
      <c r="I27" s="36">
        <f>SUMPRODUCT((COLUMN(Planejado!$H$4:$S$4)-COLUMN(Planejado!$H$4)+1&lt;=$D$3)*Planejado!$H26:$S26)</f>
        <v/>
      </c>
      <c r="J27" s="36">
        <f>SUMPRODUCT((COLUMN(Realizado!$H$4:$S$4)-COLUMN(Realizado!$H$4)+1&lt;=$D$3)*Realizado!$H26:$S26)</f>
        <v/>
      </c>
      <c r="K27" s="36">
        <f>J27-I27</f>
        <v/>
      </c>
      <c r="L27" s="37">
        <f>IFERROR(K27/I27,"")</f>
        <v/>
      </c>
      <c r="M27" s="37">
        <f>IFERROR(J27/I27,"")</f>
        <v/>
      </c>
      <c r="N27" s="38">
        <f>IF(P27=0,"Sem lançamento",IF(AND(I27=0,J27=0),"—",IF(I27=0,"Não orçado",IF(K27&gt;0.05*I27,"Acima do orçado",IF(K27&lt;-0.05*I27,"Abaixo do orçado","Dentro do orçado")))))</f>
        <v/>
      </c>
      <c r="O27" s="27">
        <f>IF(K27&gt;1,K27+ROW()/1000000,"")</f>
        <v/>
      </c>
      <c r="P27" s="39">
        <f>SUMPRODUCT((COLUMN(Realizado!$H$4:$S$4)-COLUMN(Realizado!$H$4)+1&lt;=$D$3)*(Realizado!$H26:$S26&lt;&gt;""))</f>
        <v/>
      </c>
    </row>
    <row r="28" ht="24" customHeight="1">
      <c r="A28" s="34">
        <f>Planejado!A27</f>
        <v/>
      </c>
      <c r="B28" s="34">
        <f>Planejado!B27</f>
        <v/>
      </c>
      <c r="C28" s="34">
        <f>Planejado!C27</f>
        <v/>
      </c>
      <c r="D28" s="35">
        <f>Planejado!D27</f>
        <v/>
      </c>
      <c r="E28" s="34">
        <f>Planejado!G27</f>
        <v/>
      </c>
      <c r="F28" s="36">
        <f>INDEX(Planejado!$H27:$S27,$D$3)</f>
        <v/>
      </c>
      <c r="G28" s="36">
        <f>INDEX(Realizado!$H27:$S27,$D$3)</f>
        <v/>
      </c>
      <c r="H28" s="36">
        <f>G28-F28</f>
        <v/>
      </c>
      <c r="I28" s="36">
        <f>SUMPRODUCT((COLUMN(Planejado!$H$4:$S$4)-COLUMN(Planejado!$H$4)+1&lt;=$D$3)*Planejado!$H27:$S27)</f>
        <v/>
      </c>
      <c r="J28" s="36">
        <f>SUMPRODUCT((COLUMN(Realizado!$H$4:$S$4)-COLUMN(Realizado!$H$4)+1&lt;=$D$3)*Realizado!$H27:$S27)</f>
        <v/>
      </c>
      <c r="K28" s="36">
        <f>J28-I28</f>
        <v/>
      </c>
      <c r="L28" s="37">
        <f>IFERROR(K28/I28,"")</f>
        <v/>
      </c>
      <c r="M28" s="37">
        <f>IFERROR(J28/I28,"")</f>
        <v/>
      </c>
      <c r="N28" s="38">
        <f>IF(P28=0,"Sem lançamento",IF(AND(I28=0,J28=0),"—",IF(I28=0,"Não orçado",IF(K28&gt;0.05*I28,"Acima do orçado",IF(K28&lt;-0.05*I28,"Abaixo do orçado","Dentro do orçado")))))</f>
        <v/>
      </c>
      <c r="O28" s="27">
        <f>IF(K28&gt;1,K28+ROW()/1000000,"")</f>
        <v/>
      </c>
      <c r="P28" s="39">
        <f>SUMPRODUCT((COLUMN(Realizado!$H$4:$S$4)-COLUMN(Realizado!$H$4)+1&lt;=$D$3)*(Realizado!$H27:$S27&lt;&gt;""))</f>
        <v/>
      </c>
    </row>
    <row r="29">
      <c r="A29" s="15" t="inlineStr">
        <is>
          <t>TOTAL GERAL</t>
        </is>
      </c>
      <c r="B29" s="15" t="n"/>
      <c r="C29" s="15" t="n"/>
      <c r="D29" s="15" t="n"/>
      <c r="E29" s="15" t="n"/>
      <c r="F29" s="16">
        <f>SUM(F6:F28)</f>
        <v/>
      </c>
      <c r="G29" s="16">
        <f>SUM(G6:G28)</f>
        <v/>
      </c>
      <c r="H29" s="16">
        <f>SUM(H6:H28)</f>
        <v/>
      </c>
      <c r="I29" s="16">
        <f>SUM(I6:I28)</f>
        <v/>
      </c>
      <c r="J29" s="16">
        <f>SUM(J6:J28)</f>
        <v/>
      </c>
      <c r="K29" s="16">
        <f>SUM(K6:K28)</f>
        <v/>
      </c>
      <c r="L29" s="40">
        <f>IFERROR(K29/I29,"")</f>
        <v/>
      </c>
      <c r="M29" s="40">
        <f>IFERROR(J29/I29,"")</f>
        <v/>
      </c>
      <c r="N29" s="15" t="n"/>
    </row>
  </sheetData>
  <autoFilter ref="A5:N28"/>
  <mergeCells count="2">
    <mergeCell ref="A2:N2"/>
    <mergeCell ref="A1:N1"/>
  </mergeCells>
  <conditionalFormatting sqref="H6:H28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28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8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Jurídico e TI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6" t="inlineStr">
        <is>
          <t>ID</t>
        </is>
      </c>
      <c r="B4" s="6" t="inlineStr">
        <is>
          <t>Departamento</t>
        </is>
      </c>
      <c r="C4" s="6" t="inlineStr">
        <is>
          <t>Bloco</t>
        </is>
      </c>
      <c r="D4" s="6" t="inlineStr">
        <is>
          <t>Descrição</t>
        </is>
      </c>
      <c r="E4" s="6" t="inlineStr">
        <is>
          <t>Detalhe / Observação</t>
        </is>
      </c>
      <c r="F4" s="6" t="inlineStr">
        <is>
          <t>Vínculo</t>
        </is>
      </c>
      <c r="G4" s="6" t="inlineStr">
        <is>
          <t>Plano de Contas</t>
        </is>
      </c>
      <c r="H4" s="6" t="inlineStr">
        <is>
          <t>Jan/26</t>
        </is>
      </c>
      <c r="I4" s="6" t="inlineStr">
        <is>
          <t>Fev/26</t>
        </is>
      </c>
      <c r="J4" s="6" t="inlineStr">
        <is>
          <t>Mar/26</t>
        </is>
      </c>
      <c r="K4" s="6" t="inlineStr">
        <is>
          <t>Abr/26</t>
        </is>
      </c>
      <c r="L4" s="6" t="inlineStr">
        <is>
          <t>Mai/26</t>
        </is>
      </c>
      <c r="M4" s="6" t="inlineStr">
        <is>
          <t>Jun/26</t>
        </is>
      </c>
      <c r="N4" s="6" t="inlineStr">
        <is>
          <t>Jul/26</t>
        </is>
      </c>
      <c r="O4" s="6" t="inlineStr">
        <is>
          <t>Ago/26</t>
        </is>
      </c>
      <c r="P4" s="6" t="inlineStr">
        <is>
          <t>Set/26</t>
        </is>
      </c>
      <c r="Q4" s="6" t="inlineStr">
        <is>
          <t>Out/26</t>
        </is>
      </c>
      <c r="R4" s="6" t="inlineStr">
        <is>
          <t>Nov/26</t>
        </is>
      </c>
      <c r="S4" s="6" t="inlineStr">
        <is>
          <t>Dez/26</t>
        </is>
      </c>
      <c r="T4" s="6" t="inlineStr">
        <is>
          <t>TOTAL DO ANO</t>
        </is>
      </c>
    </row>
    <row r="5" ht="26" customHeight="1">
      <c r="A5" s="28" t="inlineStr">
        <is>
          <t>JUR-E01</t>
        </is>
      </c>
      <c r="B5" s="28" t="inlineStr">
        <is>
          <t>Jurídico</t>
        </is>
      </c>
      <c r="C5" s="28" t="inlineStr">
        <is>
          <t>Equipe</t>
        </is>
      </c>
      <c r="D5" s="29" t="inlineStr">
        <is>
          <t>Miguel Clepf</t>
        </is>
      </c>
      <c r="E5" s="29" t="inlineStr">
        <is>
          <t>Advogado Júnior</t>
        </is>
      </c>
      <c r="F5" s="28" t="inlineStr">
        <is>
          <t>PJ</t>
        </is>
      </c>
      <c r="G5" s="28" t="inlineStr">
        <is>
          <t>Pessoal - PJ</t>
        </is>
      </c>
      <c r="H5" s="30" t="n">
        <v>10000</v>
      </c>
      <c r="I5" s="30" t="n">
        <v>10000</v>
      </c>
      <c r="J5" s="30" t="n">
        <v>10000</v>
      </c>
      <c r="K5" s="30" t="n">
        <v>10000</v>
      </c>
      <c r="L5" s="30" t="n">
        <v>10000</v>
      </c>
      <c r="M5" s="30" t="n">
        <v>10000</v>
      </c>
      <c r="N5" s="30" t="n">
        <v>10000</v>
      </c>
      <c r="O5" s="30" t="n">
        <v>10000</v>
      </c>
      <c r="P5" s="30" t="n">
        <v>10000</v>
      </c>
      <c r="Q5" s="30" t="n">
        <v>10000</v>
      </c>
      <c r="R5" s="30" t="n">
        <v>10000</v>
      </c>
      <c r="S5" s="30" t="n">
        <v>10000</v>
      </c>
      <c r="T5" s="41">
        <f>SUM(H5:S5)</f>
        <v/>
      </c>
    </row>
    <row r="6" ht="26" customHeight="1">
      <c r="A6" s="28" t="inlineStr">
        <is>
          <t>JUR-E02</t>
        </is>
      </c>
      <c r="B6" s="28" t="inlineStr">
        <is>
          <t>Jurídico</t>
        </is>
      </c>
      <c r="C6" s="28" t="inlineStr">
        <is>
          <t>Equipe</t>
        </is>
      </c>
      <c r="D6" s="29" t="inlineStr">
        <is>
          <t>Geovanna — salário bruto</t>
        </is>
      </c>
      <c r="E6" s="29" t="inlineStr">
        <is>
          <t>Analista Administrativo</t>
        </is>
      </c>
      <c r="F6" s="28" t="inlineStr">
        <is>
          <t>CLT</t>
        </is>
      </c>
      <c r="G6" s="28" t="inlineStr">
        <is>
          <t>Pessoal - CLT</t>
        </is>
      </c>
      <c r="H6" s="30" t="n">
        <v>2886.91</v>
      </c>
      <c r="I6" s="30" t="n">
        <v>2886.91</v>
      </c>
      <c r="J6" s="30" t="n">
        <v>2886.91</v>
      </c>
      <c r="K6" s="30" t="n">
        <v>2886.91</v>
      </c>
      <c r="L6" s="30" t="n">
        <v>2886.91</v>
      </c>
      <c r="M6" s="30" t="n">
        <v>2886.91</v>
      </c>
      <c r="N6" s="30" t="n">
        <v>2886.91</v>
      </c>
      <c r="O6" s="30" t="n">
        <v>2886.91</v>
      </c>
      <c r="P6" s="30" t="n">
        <v>2886.91</v>
      </c>
      <c r="Q6" s="30" t="n">
        <v>2886.91</v>
      </c>
      <c r="R6" s="30" t="n">
        <v>2886.91</v>
      </c>
      <c r="S6" s="30" t="n">
        <v>2886.91</v>
      </c>
      <c r="T6" s="41">
        <f>SUM(H6:S6)</f>
        <v/>
      </c>
    </row>
    <row r="7" ht="26" customHeight="1">
      <c r="A7" s="28" t="inlineStr">
        <is>
          <t>JUR-E02B</t>
        </is>
      </c>
      <c r="B7" s="28" t="inlineStr">
        <is>
          <t>Jurídico</t>
        </is>
      </c>
      <c r="C7" s="28" t="inlineStr">
        <is>
          <t>Equipe</t>
        </is>
      </c>
      <c r="D7" s="29" t="inlineStr">
        <is>
          <t>Geovanna — encargos e benefícios</t>
        </is>
      </c>
      <c r="E7" s="29" t="inlineStr">
        <is>
          <t>INSS patronal, FGTS, provisões de 13º e férias, benefícios — PREENCHER</t>
        </is>
      </c>
      <c r="F7" s="28" t="inlineStr">
        <is>
          <t>CLT</t>
        </is>
      </c>
      <c r="G7" s="28" t="inlineStr">
        <is>
          <t>Encargos e Benefícios - CLT</t>
        </is>
      </c>
      <c r="H7" s="30" t="n">
        <v>1938.605</v>
      </c>
      <c r="I7" s="30" t="n">
        <v>1938.605</v>
      </c>
      <c r="J7" s="30" t="n">
        <v>1938.605</v>
      </c>
      <c r="K7" s="30" t="n">
        <v>1938.605</v>
      </c>
      <c r="L7" s="30" t="n">
        <v>1938.605</v>
      </c>
      <c r="M7" s="30" t="n">
        <v>1938.605</v>
      </c>
      <c r="N7" s="30" t="n">
        <v>1938.605</v>
      </c>
      <c r="O7" s="30" t="n">
        <v>1938.605</v>
      </c>
      <c r="P7" s="30" t="n">
        <v>1938.605</v>
      </c>
      <c r="Q7" s="30" t="n">
        <v>1938.605</v>
      </c>
      <c r="R7" s="30" t="n">
        <v>1938.605</v>
      </c>
      <c r="S7" s="30" t="n">
        <v>1938.605</v>
      </c>
      <c r="T7" s="41">
        <f>SUM(H7:S7)</f>
        <v/>
      </c>
    </row>
    <row r="8" ht="26" customHeight="1">
      <c r="A8" s="28" t="inlineStr">
        <is>
          <t>JUR-E03</t>
        </is>
      </c>
      <c r="B8" s="28" t="inlineStr">
        <is>
          <t>Jurídico</t>
        </is>
      </c>
      <c r="C8" s="28" t="inlineStr">
        <is>
          <t>Equipe</t>
        </is>
      </c>
      <c r="D8" s="29" t="inlineStr">
        <is>
          <t>Thamar Victória</t>
        </is>
      </c>
      <c r="E8" s="29" t="inlineStr">
        <is>
          <t>Advogada — reajuste permanente de R$ 5.000 para R$ 5.500 (revisado a partir de out/26)</t>
        </is>
      </c>
      <c r="F8" s="28" t="inlineStr">
        <is>
          <t>PJ</t>
        </is>
      </c>
      <c r="G8" s="28" t="inlineStr">
        <is>
          <t>Pessoal - PJ</t>
        </is>
      </c>
      <c r="H8" s="30" t="n">
        <v>5000</v>
      </c>
      <c r="I8" s="30" t="n">
        <v>5000</v>
      </c>
      <c r="J8" s="30" t="n">
        <v>5000</v>
      </c>
      <c r="K8" s="30" t="n">
        <v>5000</v>
      </c>
      <c r="L8" s="30" t="n">
        <v>5000</v>
      </c>
      <c r="M8" s="30" t="n">
        <v>5000</v>
      </c>
      <c r="N8" s="30" t="n">
        <v>5000</v>
      </c>
      <c r="O8" s="30" t="n">
        <v>5000</v>
      </c>
      <c r="P8" s="30" t="n">
        <v>5000</v>
      </c>
      <c r="Q8" s="30" t="n">
        <v>5500</v>
      </c>
      <c r="R8" s="30" t="n">
        <v>5500</v>
      </c>
      <c r="S8" s="30" t="n">
        <v>5500</v>
      </c>
      <c r="T8" s="41">
        <f>SUM(H8:S8)</f>
        <v/>
      </c>
    </row>
    <row r="9" ht="26" customHeight="1">
      <c r="A9" s="28" t="inlineStr">
        <is>
          <t>JUR-D01</t>
        </is>
      </c>
      <c r="B9" s="28" t="inlineStr">
        <is>
          <t>Jurídico</t>
        </is>
      </c>
      <c r="C9" s="28" t="inlineStr">
        <is>
          <t>Despesas</t>
        </is>
      </c>
      <c r="D9" s="29" t="inlineStr">
        <is>
          <t>JUSFY</t>
        </is>
      </c>
      <c r="E9" s="29" t="inlineStr">
        <is>
          <t>Fase de teste com objetivo de eliminar o Astrea</t>
        </is>
      </c>
      <c r="F9" s="28" t="inlineStr"/>
      <c r="G9" s="28" t="inlineStr">
        <is>
          <t>Licenças de Softwares</t>
        </is>
      </c>
      <c r="H9" s="30" t="n">
        <v>100</v>
      </c>
      <c r="I9" s="30" t="n">
        <v>100</v>
      </c>
      <c r="J9" s="30" t="n">
        <v>100</v>
      </c>
      <c r="K9" s="30" t="n">
        <v>100</v>
      </c>
      <c r="L9" s="30" t="n">
        <v>100</v>
      </c>
      <c r="M9" s="30" t="n">
        <v>100</v>
      </c>
      <c r="N9" s="30" t="n">
        <v>100</v>
      </c>
      <c r="O9" s="30" t="n">
        <v>100</v>
      </c>
      <c r="P9" s="30" t="n">
        <v>100</v>
      </c>
      <c r="Q9" s="30" t="n">
        <v>100</v>
      </c>
      <c r="R9" s="30" t="n">
        <v>100</v>
      </c>
      <c r="S9" s="30" t="n">
        <v>100</v>
      </c>
      <c r="T9" s="41">
        <f>SUM(H9:S9)</f>
        <v/>
      </c>
    </row>
    <row r="10" ht="26" customHeight="1">
      <c r="A10" s="28" t="inlineStr">
        <is>
          <t>JUR-D02</t>
        </is>
      </c>
      <c r="B10" s="28" t="inlineStr">
        <is>
          <t>Jurídico</t>
        </is>
      </c>
      <c r="C10" s="28" t="inlineStr">
        <is>
          <t>Despesas</t>
        </is>
      </c>
      <c r="D10" s="29" t="inlineStr">
        <is>
          <t>JUSBRASIL</t>
        </is>
      </c>
      <c r="E10" s="29" t="inlineStr"/>
      <c r="F10" s="28" t="inlineStr"/>
      <c r="G10" s="28" t="inlineStr">
        <is>
          <t>Licenças de Softwares</t>
        </is>
      </c>
      <c r="H10" s="30" t="n">
        <v>104.9</v>
      </c>
      <c r="I10" s="30" t="n">
        <v>104.9</v>
      </c>
      <c r="J10" s="30" t="n">
        <v>104.9</v>
      </c>
      <c r="K10" s="30" t="n">
        <v>104.9</v>
      </c>
      <c r="L10" s="30" t="n">
        <v>104.9</v>
      </c>
      <c r="M10" s="30" t="n">
        <v>104.9</v>
      </c>
      <c r="N10" s="30" t="n">
        <v>104.9</v>
      </c>
      <c r="O10" s="30" t="n">
        <v>104.9</v>
      </c>
      <c r="P10" s="30" t="n">
        <v>104.9</v>
      </c>
      <c r="Q10" s="30" t="n">
        <v>104.9</v>
      </c>
      <c r="R10" s="30" t="n">
        <v>104.9</v>
      </c>
      <c r="S10" s="30" t="n">
        <v>104.9</v>
      </c>
      <c r="T10" s="41">
        <f>SUM(H10:S10)</f>
        <v/>
      </c>
    </row>
    <row r="11" ht="26" customHeight="1">
      <c r="A11" s="28" t="inlineStr">
        <is>
          <t>JUR-D03</t>
        </is>
      </c>
      <c r="B11" s="28" t="inlineStr">
        <is>
          <t>Jurídico</t>
        </is>
      </c>
      <c r="C11" s="28" t="inlineStr">
        <is>
          <t>Despesas</t>
        </is>
      </c>
      <c r="D11" s="29" t="inlineStr">
        <is>
          <t>ASTREA</t>
        </is>
      </c>
      <c r="E11" s="29" t="inlineStr">
        <is>
          <t>Cancelado — realizado zerado desde mai/26</t>
        </is>
      </c>
      <c r="F11" s="28" t="inlineStr"/>
      <c r="G11" s="28" t="inlineStr">
        <is>
          <t>Licenças de Softwares</t>
        </is>
      </c>
      <c r="H11" s="30" t="n">
        <v>112.07</v>
      </c>
      <c r="I11" s="30" t="n">
        <v>112.07</v>
      </c>
      <c r="J11" s="30" t="n">
        <v>112.07</v>
      </c>
      <c r="K11" s="30" t="n">
        <v>112.07</v>
      </c>
      <c r="L11" s="30" t="n">
        <v>112.07</v>
      </c>
      <c r="M11" s="30" t="n">
        <v>112.07</v>
      </c>
      <c r="N11" s="30" t="n">
        <v>112.07</v>
      </c>
      <c r="O11" s="30" t="n">
        <v>112.07</v>
      </c>
      <c r="P11" s="30" t="n">
        <v>112.07</v>
      </c>
      <c r="Q11" s="30" t="n">
        <v>112.07</v>
      </c>
      <c r="R11" s="30" t="n">
        <v>112.07</v>
      </c>
      <c r="S11" s="30" t="n">
        <v>112.07</v>
      </c>
      <c r="T11" s="41">
        <f>SUM(H11:S11)</f>
        <v/>
      </c>
    </row>
    <row r="12" ht="26" customHeight="1">
      <c r="A12" s="28" t="inlineStr">
        <is>
          <t>JUR-D04</t>
        </is>
      </c>
      <c r="B12" s="28" t="inlineStr">
        <is>
          <t>Jurídico</t>
        </is>
      </c>
      <c r="C12" s="28" t="inlineStr">
        <is>
          <t>Despesas</t>
        </is>
      </c>
      <c r="D12" s="29" t="inlineStr">
        <is>
          <t>LEME</t>
        </is>
      </c>
      <c r="E12" s="29" t="inlineStr"/>
      <c r="F12" s="28" t="inlineStr"/>
      <c r="G12" s="28" t="inlineStr">
        <is>
          <t>Licenças de Softwares</t>
        </is>
      </c>
      <c r="H12" s="30" t="n">
        <v>1030</v>
      </c>
      <c r="I12" s="30" t="n">
        <v>1030</v>
      </c>
      <c r="J12" s="30" t="n">
        <v>1030</v>
      </c>
      <c r="K12" s="30" t="n">
        <v>1030</v>
      </c>
      <c r="L12" s="30" t="n">
        <v>1030</v>
      </c>
      <c r="M12" s="30" t="n">
        <v>1030</v>
      </c>
      <c r="N12" s="30" t="n">
        <v>1030</v>
      </c>
      <c r="O12" s="30" t="n">
        <v>1030</v>
      </c>
      <c r="P12" s="30" t="n">
        <v>1030</v>
      </c>
      <c r="Q12" s="30" t="n">
        <v>1030</v>
      </c>
      <c r="R12" s="30" t="n">
        <v>1030</v>
      </c>
      <c r="S12" s="30" t="n">
        <v>1030</v>
      </c>
      <c r="T12" s="41">
        <f>SUM(H12:S12)</f>
        <v/>
      </c>
    </row>
    <row r="13" ht="26" customHeight="1">
      <c r="A13" s="28" t="inlineStr">
        <is>
          <t>JUR-D05</t>
        </is>
      </c>
      <c r="B13" s="28" t="inlineStr">
        <is>
          <t>Jurídico</t>
        </is>
      </c>
      <c r="C13" s="28" t="inlineStr">
        <is>
          <t>Despesas</t>
        </is>
      </c>
      <c r="D13" s="29" t="inlineStr">
        <is>
          <t>Cursos / Eventos / Network</t>
        </is>
      </c>
      <c r="E13" s="29" t="inlineStr"/>
      <c r="F13" s="28" t="inlineStr"/>
      <c r="G13" s="28" t="inlineStr">
        <is>
          <t>Custeio de Treinamento</t>
        </is>
      </c>
      <c r="H13" s="30" t="n">
        <v>1000</v>
      </c>
      <c r="I13" s="30" t="n">
        <v>1000</v>
      </c>
      <c r="J13" s="30" t="n">
        <v>1000</v>
      </c>
      <c r="K13" s="30" t="n">
        <v>1000</v>
      </c>
      <c r="L13" s="30" t="n">
        <v>1000</v>
      </c>
      <c r="M13" s="30" t="n">
        <v>1000</v>
      </c>
      <c r="N13" s="30" t="n">
        <v>1000</v>
      </c>
      <c r="O13" s="30" t="n">
        <v>1000</v>
      </c>
      <c r="P13" s="30" t="n">
        <v>1000</v>
      </c>
      <c r="Q13" s="30" t="n">
        <v>1000</v>
      </c>
      <c r="R13" s="30" t="n">
        <v>1000</v>
      </c>
      <c r="S13" s="30" t="n">
        <v>1000</v>
      </c>
      <c r="T13" s="41">
        <f>SUM(H13:S13)</f>
        <v/>
      </c>
    </row>
    <row r="14" ht="26" customHeight="1">
      <c r="A14" s="28" t="inlineStr">
        <is>
          <t>JUR-D06</t>
        </is>
      </c>
      <c r="B14" s="28" t="inlineStr">
        <is>
          <t>Jurídico</t>
        </is>
      </c>
      <c r="C14" s="28" t="inlineStr">
        <is>
          <t>Despesas</t>
        </is>
      </c>
      <c r="D14" s="29" t="inlineStr">
        <is>
          <t>Bonificações trimestrais/semestrais do time</t>
        </is>
      </c>
      <c r="E14" s="29" t="inlineStr">
        <is>
          <t>Participação em projetos e atingimento de resultados — CONFIRMAR se houve parcela no 1º quadrimestre</t>
        </is>
      </c>
      <c r="F14" s="28" t="inlineStr"/>
      <c r="G14" s="28" t="inlineStr">
        <is>
          <t>Prêmios</t>
        </is>
      </c>
      <c r="H14" s="30" t="n">
        <v>0</v>
      </c>
      <c r="I14" s="30" t="n">
        <v>0</v>
      </c>
      <c r="J14" s="30" t="n">
        <v>0</v>
      </c>
      <c r="K14" s="30" t="n">
        <v>0</v>
      </c>
      <c r="L14" s="30" t="n">
        <v>0</v>
      </c>
      <c r="M14" s="30" t="n">
        <v>0</v>
      </c>
      <c r="N14" s="30" t="n">
        <v>0</v>
      </c>
      <c r="O14" s="30" t="n">
        <v>10293.6</v>
      </c>
      <c r="P14" s="30" t="n">
        <v>0</v>
      </c>
      <c r="Q14" s="30" t="n">
        <v>0</v>
      </c>
      <c r="R14" s="30" t="n">
        <v>0</v>
      </c>
      <c r="S14" s="30" t="n">
        <v>12867</v>
      </c>
      <c r="T14" s="41">
        <f>SUM(H14:S14)</f>
        <v/>
      </c>
    </row>
    <row r="15" ht="26" customHeight="1">
      <c r="A15" s="34" t="inlineStr">
        <is>
          <t>TI-E01</t>
        </is>
      </c>
      <c r="B15" s="34" t="inlineStr">
        <is>
          <t>TI</t>
        </is>
      </c>
      <c r="C15" s="34" t="inlineStr">
        <is>
          <t>Equipe</t>
        </is>
      </c>
      <c r="D15" s="35" t="inlineStr">
        <is>
          <t>Vinicius Di Franco — salário bruto</t>
        </is>
      </c>
      <c r="E15" s="35" t="inlineStr">
        <is>
          <t>Analista Administrativo — aumento de R$ 2.570,52 para R$ 3.070,52 a partir de 05/08/26, absorvido pela folga do envelope orçado (custo total segue R$ 5.416,525/mês)</t>
        </is>
      </c>
      <c r="F15" s="34" t="inlineStr">
        <is>
          <t>CLT</t>
        </is>
      </c>
      <c r="G15" s="34" t="inlineStr">
        <is>
          <t>Pessoal - CLT</t>
        </is>
      </c>
      <c r="H15" s="36" t="n">
        <v>2570.52</v>
      </c>
      <c r="I15" s="36" t="n">
        <v>2570.52</v>
      </c>
      <c r="J15" s="36" t="n">
        <v>2570.52</v>
      </c>
      <c r="K15" s="36" t="n">
        <v>2570.52</v>
      </c>
      <c r="L15" s="36" t="n">
        <v>2570.52</v>
      </c>
      <c r="M15" s="36" t="n">
        <v>2570.52</v>
      </c>
      <c r="N15" s="36" t="n">
        <v>2570.52</v>
      </c>
      <c r="O15" s="36" t="n">
        <v>3070.52</v>
      </c>
      <c r="P15" s="36" t="n">
        <v>3070.52</v>
      </c>
      <c r="Q15" s="36" t="n">
        <v>3070.52</v>
      </c>
      <c r="R15" s="36" t="n">
        <v>3070.52</v>
      </c>
      <c r="S15" s="36" t="n">
        <v>3070.52</v>
      </c>
      <c r="T15" s="41">
        <f>SUM(H15:S15)</f>
        <v/>
      </c>
    </row>
    <row r="16" ht="26" customHeight="1">
      <c r="A16" s="34" t="inlineStr">
        <is>
          <t>TI-E01B</t>
        </is>
      </c>
      <c r="B16" s="34" t="inlineStr">
        <is>
          <t>TI</t>
        </is>
      </c>
      <c r="C16" s="34" t="inlineStr">
        <is>
          <t>Equipe</t>
        </is>
      </c>
      <c r="D16" s="35" t="inlineStr">
        <is>
          <t>Vinicius Di Franco — encargos e benefícios</t>
        </is>
      </c>
      <c r="E16" s="35" t="inlineStr">
        <is>
          <t>INSS patronal, FGTS, provisões de 13º e férias, benefícios — PREENCHER. Planejado = resíduo do envelope de R$ 5.416,525/mês, que já previa o aumento. A folga não é economia estrutural: com o bruto de agosto ela quase se esgota.</t>
        </is>
      </c>
      <c r="F16" s="34" t="inlineStr">
        <is>
          <t>CLT</t>
        </is>
      </c>
      <c r="G16" s="34" t="inlineStr">
        <is>
          <t>Encargos e Benefícios - CLT</t>
        </is>
      </c>
      <c r="H16" s="36" t="n">
        <v>2846.005</v>
      </c>
      <c r="I16" s="36" t="n">
        <v>2846.005</v>
      </c>
      <c r="J16" s="36" t="n">
        <v>2846.005</v>
      </c>
      <c r="K16" s="36" t="n">
        <v>2846.005</v>
      </c>
      <c r="L16" s="36" t="n">
        <v>2846.005</v>
      </c>
      <c r="M16" s="36" t="n">
        <v>2846.005</v>
      </c>
      <c r="N16" s="36" t="n">
        <v>2846.005</v>
      </c>
      <c r="O16" s="36" t="n">
        <v>2346.005</v>
      </c>
      <c r="P16" s="36" t="n">
        <v>2346.005</v>
      </c>
      <c r="Q16" s="36" t="n">
        <v>2346.005</v>
      </c>
      <c r="R16" s="36" t="n">
        <v>2346.005</v>
      </c>
      <c r="S16" s="36" t="n">
        <v>2346.005</v>
      </c>
      <c r="T16" s="41">
        <f>SUM(H16:S16)</f>
        <v/>
      </c>
    </row>
    <row r="17" ht="26" customHeight="1">
      <c r="A17" s="34" t="inlineStr">
        <is>
          <t>TI-E02</t>
        </is>
      </c>
      <c r="B17" s="34" t="inlineStr">
        <is>
          <t>TI</t>
        </is>
      </c>
      <c r="C17" s="34" t="inlineStr">
        <is>
          <t>Equipe</t>
        </is>
      </c>
      <c r="D17" s="35" t="inlineStr">
        <is>
          <t>Elias Benedito</t>
        </is>
      </c>
      <c r="E17" s="35" t="inlineStr">
        <is>
          <t>Suporte Técnico Terceirizado</t>
        </is>
      </c>
      <c r="F17" s="34" t="inlineStr">
        <is>
          <t>PJ</t>
        </is>
      </c>
      <c r="G17" s="34" t="inlineStr">
        <is>
          <t>Pessoal - PJ</t>
        </is>
      </c>
      <c r="H17" s="36" t="n">
        <v>1065</v>
      </c>
      <c r="I17" s="36" t="n">
        <v>1065</v>
      </c>
      <c r="J17" s="36" t="n">
        <v>1065</v>
      </c>
      <c r="K17" s="36" t="n">
        <v>1065</v>
      </c>
      <c r="L17" s="36" t="n">
        <v>1065</v>
      </c>
      <c r="M17" s="36" t="n">
        <v>1065</v>
      </c>
      <c r="N17" s="36" t="n">
        <v>1065</v>
      </c>
      <c r="O17" s="36" t="n">
        <v>1065</v>
      </c>
      <c r="P17" s="36" t="n">
        <v>1065</v>
      </c>
      <c r="Q17" s="36" t="n">
        <v>1065</v>
      </c>
      <c r="R17" s="36" t="n">
        <v>1065</v>
      </c>
      <c r="S17" s="36" t="n">
        <v>1065</v>
      </c>
      <c r="T17" s="41">
        <f>SUM(H17:S17)</f>
        <v/>
      </c>
    </row>
    <row r="18" ht="26" customHeight="1">
      <c r="A18" s="34" t="inlineStr">
        <is>
          <t>TI-E03</t>
        </is>
      </c>
      <c r="B18" s="34" t="inlineStr">
        <is>
          <t>TI</t>
        </is>
      </c>
      <c r="C18" s="34" t="inlineStr">
        <is>
          <t>Equipe</t>
        </is>
      </c>
      <c r="D18" s="35" t="inlineStr">
        <is>
          <t>Jonathan</t>
        </is>
      </c>
      <c r="E18" s="35" t="inlineStr">
        <is>
          <t>Consultor — entrada em abr/26 (9 meses), conforme o total da ficha original</t>
        </is>
      </c>
      <c r="F18" s="34" t="inlineStr">
        <is>
          <t>PJ</t>
        </is>
      </c>
      <c r="G18" s="34" t="inlineStr">
        <is>
          <t>Pessoal - PJ</t>
        </is>
      </c>
      <c r="H18" s="36" t="n">
        <v>0</v>
      </c>
      <c r="I18" s="36" t="n">
        <v>0</v>
      </c>
      <c r="J18" s="36" t="n">
        <v>0</v>
      </c>
      <c r="K18" s="36" t="n">
        <v>10000</v>
      </c>
      <c r="L18" s="36" t="n">
        <v>10000</v>
      </c>
      <c r="M18" s="36" t="n">
        <v>10000</v>
      </c>
      <c r="N18" s="36" t="n">
        <v>10000</v>
      </c>
      <c r="O18" s="36" t="n">
        <v>10000</v>
      </c>
      <c r="P18" s="36" t="n">
        <v>10000</v>
      </c>
      <c r="Q18" s="36" t="n">
        <v>10000</v>
      </c>
      <c r="R18" s="36" t="n">
        <v>10000</v>
      </c>
      <c r="S18" s="36" t="n">
        <v>10000</v>
      </c>
      <c r="T18" s="41">
        <f>SUM(H18:S18)</f>
        <v/>
      </c>
    </row>
    <row r="19" ht="26" customHeight="1">
      <c r="A19" s="34" t="inlineStr">
        <is>
          <t>TI-D01</t>
        </is>
      </c>
      <c r="B19" s="34" t="inlineStr">
        <is>
          <t>TI</t>
        </is>
      </c>
      <c r="C19" s="34" t="inlineStr">
        <is>
          <t>Despesas</t>
        </is>
      </c>
      <c r="D19" s="35" t="inlineStr">
        <is>
          <t>Peças de Manutenção</t>
        </is>
      </c>
      <c r="E19" s="35" t="inlineStr">
        <is>
          <t>Tela, teclado, carcaça, mouses de reposição, carregadores etc.</t>
        </is>
      </c>
      <c r="F19" s="34" t="inlineStr"/>
      <c r="G19" s="34" t="inlineStr">
        <is>
          <t>Equipamentos Eletrônicos Diversos</t>
        </is>
      </c>
      <c r="H19" s="36" t="n">
        <v>810</v>
      </c>
      <c r="I19" s="36" t="n">
        <v>810</v>
      </c>
      <c r="J19" s="36" t="n">
        <v>810</v>
      </c>
      <c r="K19" s="36" t="n">
        <v>810</v>
      </c>
      <c r="L19" s="36" t="n">
        <v>810</v>
      </c>
      <c r="M19" s="36" t="n">
        <v>810</v>
      </c>
      <c r="N19" s="36" t="n">
        <v>810</v>
      </c>
      <c r="O19" s="36" t="n">
        <v>810</v>
      </c>
      <c r="P19" s="36" t="n">
        <v>810</v>
      </c>
      <c r="Q19" s="36" t="n">
        <v>810</v>
      </c>
      <c r="R19" s="36" t="n">
        <v>810</v>
      </c>
      <c r="S19" s="36" t="n">
        <v>810</v>
      </c>
      <c r="T19" s="41">
        <f>SUM(H19:S19)</f>
        <v/>
      </c>
    </row>
    <row r="20" ht="26" customHeight="1">
      <c r="A20" s="34" t="inlineStr">
        <is>
          <t>TI-D02</t>
        </is>
      </c>
      <c r="B20" s="34" t="inlineStr">
        <is>
          <t>TI</t>
        </is>
      </c>
      <c r="C20" s="34" t="inlineStr">
        <is>
          <t>Despesas</t>
        </is>
      </c>
      <c r="D20" s="35" t="inlineStr">
        <is>
          <t>Backup em Nuvem</t>
        </is>
      </c>
      <c r="E20" s="35" t="inlineStr">
        <is>
          <t>Serviço de backup em nuvem para servidor — RATEIO A DEFINIR</t>
        </is>
      </c>
      <c r="F20" s="34" t="inlineStr"/>
      <c r="G20" s="34" t="inlineStr">
        <is>
          <t>Licenças de Softwares</t>
        </is>
      </c>
      <c r="H20" s="36" t="n">
        <v>825</v>
      </c>
      <c r="I20" s="36" t="n">
        <v>825</v>
      </c>
      <c r="J20" s="36" t="n">
        <v>825</v>
      </c>
      <c r="K20" s="36" t="n">
        <v>825</v>
      </c>
      <c r="L20" s="36" t="n">
        <v>825</v>
      </c>
      <c r="M20" s="36" t="n">
        <v>825</v>
      </c>
      <c r="N20" s="36" t="n">
        <v>825</v>
      </c>
      <c r="O20" s="36" t="n">
        <v>825</v>
      </c>
      <c r="P20" s="36" t="n">
        <v>825</v>
      </c>
      <c r="Q20" s="36" t="n">
        <v>825</v>
      </c>
      <c r="R20" s="36" t="n">
        <v>825</v>
      </c>
      <c r="S20" s="36" t="n">
        <v>825</v>
      </c>
      <c r="T20" s="41">
        <f>SUM(H20:S20)</f>
        <v/>
      </c>
    </row>
    <row r="21" ht="26" customHeight="1">
      <c r="A21" s="34" t="inlineStr">
        <is>
          <t>TI-D03</t>
        </is>
      </c>
      <c r="B21" s="34" t="inlineStr">
        <is>
          <t>TI</t>
        </is>
      </c>
      <c r="C21" s="34" t="inlineStr">
        <is>
          <t>Despesas</t>
        </is>
      </c>
      <c r="D21" s="35" t="inlineStr">
        <is>
          <t>Inteligência Artificial (Adapta)</t>
        </is>
      </c>
      <c r="E21" s="35" t="inlineStr">
        <is>
          <t>Plataforma de IA para utilização de agentes — RATEIO A DEFINIR</t>
        </is>
      </c>
      <c r="F21" s="34" t="inlineStr"/>
      <c r="G21" s="34" t="inlineStr">
        <is>
          <t>Licenças de Softwares</t>
        </is>
      </c>
      <c r="H21" s="36" t="n">
        <v>1300</v>
      </c>
      <c r="I21" s="36" t="n">
        <v>1300</v>
      </c>
      <c r="J21" s="36" t="n">
        <v>1300</v>
      </c>
      <c r="K21" s="36" t="n">
        <v>1300</v>
      </c>
      <c r="L21" s="36" t="n">
        <v>1300</v>
      </c>
      <c r="M21" s="36" t="n">
        <v>1300</v>
      </c>
      <c r="N21" s="36" t="n">
        <v>1600</v>
      </c>
      <c r="O21" s="36" t="n">
        <v>1600</v>
      </c>
      <c r="P21" s="36" t="n">
        <v>1600</v>
      </c>
      <c r="Q21" s="36" t="n">
        <v>1600</v>
      </c>
      <c r="R21" s="36" t="n">
        <v>1600</v>
      </c>
      <c r="S21" s="36" t="n">
        <v>1600</v>
      </c>
      <c r="T21" s="41">
        <f>SUM(H21:S21)</f>
        <v/>
      </c>
    </row>
    <row r="22" ht="26" customHeight="1">
      <c r="A22" s="34" t="inlineStr">
        <is>
          <t>TI-D04</t>
        </is>
      </c>
      <c r="B22" s="34" t="inlineStr">
        <is>
          <t>TI</t>
        </is>
      </c>
      <c r="C22" s="34" t="inlineStr">
        <is>
          <t>Despesas</t>
        </is>
      </c>
      <c r="D22" s="35" t="inlineStr">
        <is>
          <t>Antivírus</t>
        </is>
      </c>
      <c r="E22" s="35" t="inlineStr">
        <is>
          <t>Proteção para equipamentos — RATEIO A DEFINIR</t>
        </is>
      </c>
      <c r="F22" s="34" t="inlineStr"/>
      <c r="G22" s="34" t="inlineStr">
        <is>
          <t>Licenças de Softwares</t>
        </is>
      </c>
      <c r="H22" s="36" t="n">
        <v>240</v>
      </c>
      <c r="I22" s="36" t="n">
        <v>240</v>
      </c>
      <c r="J22" s="36" t="n">
        <v>240</v>
      </c>
      <c r="K22" s="36" t="n">
        <v>240</v>
      </c>
      <c r="L22" s="36" t="n">
        <v>240</v>
      </c>
      <c r="M22" s="36" t="n">
        <v>240</v>
      </c>
      <c r="N22" s="36" t="n">
        <v>240</v>
      </c>
      <c r="O22" s="36" t="n">
        <v>240</v>
      </c>
      <c r="P22" s="36" t="n">
        <v>240</v>
      </c>
      <c r="Q22" s="36" t="n">
        <v>240</v>
      </c>
      <c r="R22" s="36" t="n">
        <v>240</v>
      </c>
      <c r="S22" s="36" t="n">
        <v>240</v>
      </c>
      <c r="T22" s="41">
        <f>SUM(H22:S22)</f>
        <v/>
      </c>
    </row>
    <row r="23" ht="26" customHeight="1">
      <c r="A23" s="34" t="inlineStr">
        <is>
          <t>TI-D05</t>
        </is>
      </c>
      <c r="B23" s="34" t="inlineStr">
        <is>
          <t>TI</t>
        </is>
      </c>
      <c r="C23" s="34" t="inlineStr">
        <is>
          <t>Despesas</t>
        </is>
      </c>
      <c r="D23" s="35" t="inlineStr">
        <is>
          <t>Pacote Office 365</t>
        </is>
      </c>
      <c r="E23" s="35" t="inlineStr">
        <is>
          <t>Licenças de software (conferir nº de licenças x usuários) — RATEIO A DEFINIR</t>
        </is>
      </c>
      <c r="F23" s="34" t="inlineStr"/>
      <c r="G23" s="34" t="inlineStr">
        <is>
          <t>Licenças de Softwares</t>
        </is>
      </c>
      <c r="H23" s="36" t="n">
        <v>375</v>
      </c>
      <c r="I23" s="36" t="n">
        <v>375</v>
      </c>
      <c r="J23" s="36" t="n">
        <v>375</v>
      </c>
      <c r="K23" s="36" t="n">
        <v>375</v>
      </c>
      <c r="L23" s="36" t="n">
        <v>375</v>
      </c>
      <c r="M23" s="36" t="n">
        <v>375</v>
      </c>
      <c r="N23" s="36" t="n">
        <v>375</v>
      </c>
      <c r="O23" s="36" t="n">
        <v>375</v>
      </c>
      <c r="P23" s="36" t="n">
        <v>375</v>
      </c>
      <c r="Q23" s="36" t="n">
        <v>375</v>
      </c>
      <c r="R23" s="36" t="n">
        <v>375</v>
      </c>
      <c r="S23" s="36" t="n">
        <v>375</v>
      </c>
      <c r="T23" s="41">
        <f>SUM(H23:S23)</f>
        <v/>
      </c>
    </row>
    <row r="24" ht="26" customHeight="1">
      <c r="A24" s="34" t="inlineStr">
        <is>
          <t>TI-D06</t>
        </is>
      </c>
      <c r="B24" s="34" t="inlineStr">
        <is>
          <t>TI</t>
        </is>
      </c>
      <c r="C24" s="34" t="inlineStr">
        <is>
          <t>Despesas</t>
        </is>
      </c>
      <c r="D24" s="35" t="inlineStr">
        <is>
          <t>Projeto Melhoria de Infraestrutura - Sala de Reunião</t>
        </is>
      </c>
      <c r="E24" s="35" t="inlineStr">
        <is>
          <t>Cadeiras, cafeteira, copos, canetas, blocos personalizados, câmeras, microfones etc.</t>
        </is>
      </c>
      <c r="F24" s="34" t="inlineStr"/>
      <c r="G24" s="34" t="inlineStr">
        <is>
          <t>Móveis e Utensílios</t>
        </is>
      </c>
      <c r="H24" s="36" t="n">
        <v>2800</v>
      </c>
      <c r="I24" s="36" t="n">
        <v>2800</v>
      </c>
      <c r="J24" s="36" t="n">
        <v>2800</v>
      </c>
      <c r="K24" s="36" t="n">
        <v>2800</v>
      </c>
      <c r="L24" s="36" t="n">
        <v>2800</v>
      </c>
      <c r="M24" s="36" t="n">
        <v>2800</v>
      </c>
      <c r="N24" s="36" t="n">
        <v>2800</v>
      </c>
      <c r="O24" s="36" t="n">
        <v>2800</v>
      </c>
      <c r="P24" s="36" t="n">
        <v>2800</v>
      </c>
      <c r="Q24" s="36" t="n">
        <v>2800</v>
      </c>
      <c r="R24" s="36" t="n">
        <v>2800</v>
      </c>
      <c r="S24" s="36" t="n">
        <v>2800</v>
      </c>
      <c r="T24" s="41">
        <f>SUM(H24:S24)</f>
        <v/>
      </c>
    </row>
    <row r="25" ht="26" customHeight="1">
      <c r="A25" s="34" t="inlineStr">
        <is>
          <t>TI-D07</t>
        </is>
      </c>
      <c r="B25" s="34" t="inlineStr">
        <is>
          <t>TI</t>
        </is>
      </c>
      <c r="C25" s="34" t="inlineStr">
        <is>
          <t>Despesas</t>
        </is>
      </c>
      <c r="D25" s="35" t="inlineStr">
        <is>
          <t>Cursos e Treinamentos</t>
        </is>
      </c>
      <c r="E25" s="35" t="inlineStr"/>
      <c r="F25" s="34" t="inlineStr"/>
      <c r="G25" s="34" t="inlineStr">
        <is>
          <t>Custeio de Treinamento</t>
        </is>
      </c>
      <c r="H25" s="36" t="n">
        <v>200</v>
      </c>
      <c r="I25" s="36" t="n">
        <v>200</v>
      </c>
      <c r="J25" s="36" t="n">
        <v>200</v>
      </c>
      <c r="K25" s="36" t="n">
        <v>200</v>
      </c>
      <c r="L25" s="36" t="n">
        <v>200</v>
      </c>
      <c r="M25" s="36" t="n">
        <v>200</v>
      </c>
      <c r="N25" s="36" t="n">
        <v>200</v>
      </c>
      <c r="O25" s="36" t="n">
        <v>200</v>
      </c>
      <c r="P25" s="36" t="n">
        <v>200</v>
      </c>
      <c r="Q25" s="36" t="n">
        <v>200</v>
      </c>
      <c r="R25" s="36" t="n">
        <v>200</v>
      </c>
      <c r="S25" s="36" t="n">
        <v>200</v>
      </c>
      <c r="T25" s="41">
        <f>SUM(H25:S25)</f>
        <v/>
      </c>
    </row>
    <row r="26" ht="26" customHeight="1">
      <c r="A26" s="34" t="inlineStr">
        <is>
          <t>TI-D08</t>
        </is>
      </c>
      <c r="B26" s="34" t="inlineStr">
        <is>
          <t>TI</t>
        </is>
      </c>
      <c r="C26" s="34" t="inlineStr">
        <is>
          <t>Despesas</t>
        </is>
      </c>
      <c r="D26" s="35" t="inlineStr">
        <is>
          <t>Aplicativo de Gravação de Reunião</t>
        </is>
      </c>
      <c r="E26" s="35" t="inlineStr"/>
      <c r="F26" s="34" t="inlineStr"/>
      <c r="G26" s="34" t="inlineStr">
        <is>
          <t>Licenças de Softwares</t>
        </is>
      </c>
      <c r="H26" s="36" t="n">
        <v>220</v>
      </c>
      <c r="I26" s="36" t="n">
        <v>220</v>
      </c>
      <c r="J26" s="36" t="n">
        <v>220</v>
      </c>
      <c r="K26" s="36" t="n">
        <v>220</v>
      </c>
      <c r="L26" s="36" t="n">
        <v>220</v>
      </c>
      <c r="M26" s="36" t="n">
        <v>220</v>
      </c>
      <c r="N26" s="36" t="n">
        <v>220</v>
      </c>
      <c r="O26" s="36" t="n">
        <v>220</v>
      </c>
      <c r="P26" s="36" t="n">
        <v>220</v>
      </c>
      <c r="Q26" s="36" t="n">
        <v>220</v>
      </c>
      <c r="R26" s="36" t="n">
        <v>220</v>
      </c>
      <c r="S26" s="36" t="n">
        <v>220</v>
      </c>
      <c r="T26" s="41">
        <f>SUM(H26:S26)</f>
        <v/>
      </c>
    </row>
    <row r="27" ht="26" customHeight="1">
      <c r="A27" s="34" t="inlineStr">
        <is>
          <t>TI-D09</t>
        </is>
      </c>
      <c r="B27" s="34" t="inlineStr">
        <is>
          <t>TI</t>
        </is>
      </c>
      <c r="C27" s="34" t="inlineStr">
        <is>
          <t>Despesas</t>
        </is>
      </c>
      <c r="D27" s="35" t="inlineStr">
        <is>
          <t>Bonificação do time</t>
        </is>
      </c>
      <c r="E27" s="35" t="inlineStr">
        <is>
          <t>Cumprimento de prazos e participação em projetos — CONFIRMAR se houve parcela no 1º quadrimestre</t>
        </is>
      </c>
      <c r="F27" s="34" t="inlineStr"/>
      <c r="G27" s="34" t="inlineStr">
        <is>
          <t>Prêmios</t>
        </is>
      </c>
      <c r="H27" s="36" t="n">
        <v>0</v>
      </c>
      <c r="I27" s="36" t="n">
        <v>0</v>
      </c>
      <c r="J27" s="36" t="n">
        <v>0</v>
      </c>
      <c r="K27" s="36" t="n">
        <v>0</v>
      </c>
      <c r="L27" s="36" t="n">
        <v>0</v>
      </c>
      <c r="M27" s="36" t="n">
        <v>0</v>
      </c>
      <c r="N27" s="36" t="n">
        <v>0</v>
      </c>
      <c r="O27" s="36" t="n">
        <v>2400</v>
      </c>
      <c r="P27" s="36" t="n">
        <v>0</v>
      </c>
      <c r="Q27" s="36" t="n">
        <v>0</v>
      </c>
      <c r="R27" s="36" t="n">
        <v>0</v>
      </c>
      <c r="S27" s="36" t="n">
        <v>3600</v>
      </c>
      <c r="T27" s="41">
        <f>SUM(H27:S27)</f>
        <v/>
      </c>
    </row>
    <row r="28">
      <c r="A28" s="15" t="inlineStr">
        <is>
          <t>TOTAL GERAL</t>
        </is>
      </c>
      <c r="B28" s="15" t="n"/>
      <c r="C28" s="15" t="n"/>
      <c r="D28" s="15" t="n"/>
      <c r="E28" s="15" t="n"/>
      <c r="F28" s="15" t="n"/>
      <c r="G28" s="15" t="n"/>
      <c r="H28" s="16">
        <f>SUM(H5:H27)</f>
        <v/>
      </c>
      <c r="I28" s="16">
        <f>SUM(I5:I27)</f>
        <v/>
      </c>
      <c r="J28" s="16">
        <f>SUM(J5:J27)</f>
        <v/>
      </c>
      <c r="K28" s="16">
        <f>SUM(K5:K27)</f>
        <v/>
      </c>
      <c r="L28" s="16">
        <f>SUM(L5:L27)</f>
        <v/>
      </c>
      <c r="M28" s="16">
        <f>SUM(M5:M27)</f>
        <v/>
      </c>
      <c r="N28" s="16">
        <f>SUM(N5:N27)</f>
        <v/>
      </c>
      <c r="O28" s="16">
        <f>SUM(O5:O27)</f>
        <v/>
      </c>
      <c r="P28" s="16">
        <f>SUM(P5:P27)</f>
        <v/>
      </c>
      <c r="Q28" s="16">
        <f>SUM(Q5:Q27)</f>
        <v/>
      </c>
      <c r="R28" s="16">
        <f>SUM(R5:R27)</f>
        <v/>
      </c>
      <c r="S28" s="16">
        <f>SUM(S5:S27)</f>
        <v/>
      </c>
      <c r="T28" s="16">
        <f>SUM(T5:T27)</f>
        <v/>
      </c>
    </row>
  </sheetData>
  <autoFilter ref="A4:T27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28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Jurídico e TI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42" t="inlineStr">
        <is>
          <t>ID</t>
        </is>
      </c>
      <c r="B4" s="42" t="inlineStr">
        <is>
          <t>Departamento</t>
        </is>
      </c>
      <c r="C4" s="42" t="inlineStr">
        <is>
          <t>Bloco</t>
        </is>
      </c>
      <c r="D4" s="42" t="inlineStr">
        <is>
          <t>Descrição</t>
        </is>
      </c>
      <c r="E4" s="42" t="inlineStr">
        <is>
          <t>Detalhe / Observação</t>
        </is>
      </c>
      <c r="F4" s="42" t="inlineStr">
        <is>
          <t>Vínculo</t>
        </is>
      </c>
      <c r="G4" s="42" t="inlineStr">
        <is>
          <t>Plano de Contas</t>
        </is>
      </c>
      <c r="H4" s="42" t="inlineStr">
        <is>
          <t>Jan/26</t>
        </is>
      </c>
      <c r="I4" s="42" t="inlineStr">
        <is>
          <t>Fev/26</t>
        </is>
      </c>
      <c r="J4" s="42" t="inlineStr">
        <is>
          <t>Mar/26</t>
        </is>
      </c>
      <c r="K4" s="42" t="inlineStr">
        <is>
          <t>Abr/26</t>
        </is>
      </c>
      <c r="L4" s="42" t="inlineStr">
        <is>
          <t>Mai/26</t>
        </is>
      </c>
      <c r="M4" s="42" t="inlineStr">
        <is>
          <t>Jun/26</t>
        </is>
      </c>
      <c r="N4" s="42" t="inlineStr">
        <is>
          <t>Jul/26</t>
        </is>
      </c>
      <c r="O4" s="42" t="inlineStr">
        <is>
          <t>Ago/26</t>
        </is>
      </c>
      <c r="P4" s="42" t="inlineStr">
        <is>
          <t>Set/26</t>
        </is>
      </c>
      <c r="Q4" s="42" t="inlineStr">
        <is>
          <t>Out/26</t>
        </is>
      </c>
      <c r="R4" s="42" t="inlineStr">
        <is>
          <t>Nov/26</t>
        </is>
      </c>
      <c r="S4" s="42" t="inlineStr">
        <is>
          <t>Dez/26</t>
        </is>
      </c>
      <c r="T4" s="42" t="inlineStr">
        <is>
          <t>TOTAL REALIZADO</t>
        </is>
      </c>
      <c r="U4" s="42" t="inlineStr">
        <is>
          <t>Fonte do dado</t>
        </is>
      </c>
      <c r="V4" s="42" t="inlineStr">
        <is>
          <t>Observações do mês</t>
        </is>
      </c>
    </row>
    <row r="5" ht="26" customHeight="1">
      <c r="A5" s="43">
        <f>Planejado!A5</f>
        <v/>
      </c>
      <c r="B5" s="43">
        <f>Planejado!B5</f>
        <v/>
      </c>
      <c r="C5" s="43">
        <f>Planejado!C5</f>
        <v/>
      </c>
      <c r="D5" s="44">
        <f>Planejado!D5</f>
        <v/>
      </c>
      <c r="E5" s="44">
        <f>Planejado!E5</f>
        <v/>
      </c>
      <c r="F5" s="43">
        <f>Planejado!F5</f>
        <v/>
      </c>
      <c r="G5" s="43">
        <f>Planejado!G5</f>
        <v/>
      </c>
      <c r="H5" s="45" t="n"/>
      <c r="I5" s="45" t="n"/>
      <c r="J5" s="45" t="n"/>
      <c r="K5" s="45" t="n"/>
      <c r="L5" s="45" t="n">
        <v>8818</v>
      </c>
      <c r="M5" s="45" t="n">
        <v>8818</v>
      </c>
      <c r="N5" s="45" t="n">
        <v>8818</v>
      </c>
      <c r="O5" s="45" t="n"/>
      <c r="T5" s="41">
        <f>SUM(H5:S5)</f>
        <v/>
      </c>
      <c r="U5" s="46" t="inlineStr">
        <is>
          <t>Gestora, 05/08/26</t>
        </is>
      </c>
      <c r="V5" s="46" t="inlineStr">
        <is>
          <t>Valor cheio da nota — R$ 1.182/mês abaixo do contratado</t>
        </is>
      </c>
    </row>
    <row r="6" ht="26" customHeight="1">
      <c r="A6" s="43">
        <f>Planejado!A6</f>
        <v/>
      </c>
      <c r="B6" s="43">
        <f>Planejado!B6</f>
        <v/>
      </c>
      <c r="C6" s="43">
        <f>Planejado!C6</f>
        <v/>
      </c>
      <c r="D6" s="44">
        <f>Planejado!D6</f>
        <v/>
      </c>
      <c r="E6" s="44">
        <f>Planejado!E6</f>
        <v/>
      </c>
      <c r="F6" s="43">
        <f>Planejado!F6</f>
        <v/>
      </c>
      <c r="G6" s="43">
        <f>Planejado!G6</f>
        <v/>
      </c>
      <c r="H6" s="45" t="n"/>
      <c r="I6" s="45" t="n"/>
      <c r="J6" s="45" t="n"/>
      <c r="K6" s="45" t="n"/>
      <c r="L6" s="45" t="n">
        <v>2886.91</v>
      </c>
      <c r="M6" s="45" t="n">
        <v>2886.91</v>
      </c>
      <c r="N6" s="45" t="n">
        <v>2886.91</v>
      </c>
      <c r="O6" s="45" t="n"/>
      <c r="T6" s="41">
        <f>SUM(H6:S6)</f>
        <v/>
      </c>
      <c r="U6" s="46" t="inlineStr">
        <is>
          <t>Gestora, 05/08/26</t>
        </is>
      </c>
      <c r="V6" s="46" t="inlineStr">
        <is>
          <t>Salário bruto</t>
        </is>
      </c>
    </row>
    <row r="7" ht="26" customHeight="1">
      <c r="A7" s="43">
        <f>Planejado!A7</f>
        <v/>
      </c>
      <c r="B7" s="43">
        <f>Planejado!B7</f>
        <v/>
      </c>
      <c r="C7" s="43">
        <f>Planejado!C7</f>
        <v/>
      </c>
      <c r="D7" s="44">
        <f>Planejado!D7</f>
        <v/>
      </c>
      <c r="E7" s="44">
        <f>Planejado!E7</f>
        <v/>
      </c>
      <c r="F7" s="43">
        <f>Planejado!F7</f>
        <v/>
      </c>
      <c r="G7" s="43">
        <f>Planejado!G7</f>
        <v/>
      </c>
      <c r="H7" s="45" t="n"/>
      <c r="I7" s="45" t="n"/>
      <c r="J7" s="45" t="n"/>
      <c r="K7" s="45" t="n"/>
      <c r="L7" s="45" t="n"/>
      <c r="M7" s="45" t="n"/>
      <c r="N7" s="45" t="n"/>
      <c r="O7" s="45" t="n"/>
      <c r="T7" s="41">
        <f>SUM(H7:S7)</f>
        <v/>
      </c>
      <c r="U7" s="46" t="n"/>
      <c r="V7" s="46" t="inlineStr">
        <is>
          <t>PREENCHER — encargos e benefícios sobre o bruto</t>
        </is>
      </c>
    </row>
    <row r="8" ht="26" customHeight="1">
      <c r="A8" s="43">
        <f>Planejado!A8</f>
        <v/>
      </c>
      <c r="B8" s="43">
        <f>Planejado!B8</f>
        <v/>
      </c>
      <c r="C8" s="43">
        <f>Planejado!C8</f>
        <v/>
      </c>
      <c r="D8" s="44">
        <f>Planejado!D8</f>
        <v/>
      </c>
      <c r="E8" s="44">
        <f>Planejado!E8</f>
        <v/>
      </c>
      <c r="F8" s="43">
        <f>Planejado!F8</f>
        <v/>
      </c>
      <c r="G8" s="43">
        <f>Planejado!G8</f>
        <v/>
      </c>
      <c r="H8" s="45" t="n"/>
      <c r="I8" s="45" t="n"/>
      <c r="J8" s="45" t="n"/>
      <c r="K8" s="45" t="n"/>
      <c r="L8" s="45" t="n">
        <v>5500</v>
      </c>
      <c r="M8" s="45" t="n">
        <v>5500</v>
      </c>
      <c r="N8" s="45" t="n">
        <v>5500</v>
      </c>
      <c r="O8" s="45" t="n"/>
      <c r="T8" s="41">
        <f>SUM(H8:S8)</f>
        <v/>
      </c>
      <c r="U8" s="46" t="inlineStr">
        <is>
          <t>Gestora, 05/08/26</t>
        </is>
      </c>
      <c r="V8" s="46" t="inlineStr">
        <is>
          <t>Reajuste permanente aplicado desde mai/26</t>
        </is>
      </c>
    </row>
    <row r="9" ht="26" customHeight="1">
      <c r="A9" s="43">
        <f>Planejado!A9</f>
        <v/>
      </c>
      <c r="B9" s="43">
        <f>Planejado!B9</f>
        <v/>
      </c>
      <c r="C9" s="43">
        <f>Planejado!C9</f>
        <v/>
      </c>
      <c r="D9" s="44">
        <f>Planejado!D9</f>
        <v/>
      </c>
      <c r="E9" s="44">
        <f>Planejado!E9</f>
        <v/>
      </c>
      <c r="F9" s="43">
        <f>Planejado!F9</f>
        <v/>
      </c>
      <c r="G9" s="43">
        <f>Planejado!G9</f>
        <v/>
      </c>
      <c r="H9" s="45" t="n"/>
      <c r="I9" s="45" t="n"/>
      <c r="J9" s="45" t="n"/>
      <c r="K9" s="45" t="n"/>
      <c r="L9" s="45" t="n">
        <v>0</v>
      </c>
      <c r="M9" s="45" t="n">
        <v>0</v>
      </c>
      <c r="N9" s="45" t="n">
        <v>0</v>
      </c>
      <c r="O9" s="45" t="n"/>
      <c r="T9" s="41">
        <f>SUM(H9:S9)</f>
        <v/>
      </c>
      <c r="U9" s="46" t="inlineStr">
        <is>
          <t>Gestora, 05/08/26</t>
        </is>
      </c>
      <c r="V9" s="46" t="inlineStr">
        <is>
          <t>Ainda não iniciado — sem cobrança</t>
        </is>
      </c>
    </row>
    <row r="10" ht="26" customHeight="1">
      <c r="A10" s="43">
        <f>Planejado!A10</f>
        <v/>
      </c>
      <c r="B10" s="43">
        <f>Planejado!B10</f>
        <v/>
      </c>
      <c r="C10" s="43">
        <f>Planejado!C10</f>
        <v/>
      </c>
      <c r="D10" s="44">
        <f>Planejado!D10</f>
        <v/>
      </c>
      <c r="E10" s="44">
        <f>Planejado!E10</f>
        <v/>
      </c>
      <c r="F10" s="43">
        <f>Planejado!F10</f>
        <v/>
      </c>
      <c r="G10" s="43">
        <f>Planejado!G10</f>
        <v/>
      </c>
      <c r="H10" s="45" t="n"/>
      <c r="I10" s="45" t="n"/>
      <c r="J10" s="45" t="n"/>
      <c r="K10" s="45" t="n"/>
      <c r="L10" s="45" t="n">
        <v>136</v>
      </c>
      <c r="M10" s="45" t="n">
        <v>136</v>
      </c>
      <c r="N10" s="45" t="n">
        <v>136</v>
      </c>
      <c r="O10" s="45" t="n"/>
      <c r="T10" s="41">
        <f>SUM(H10:S10)</f>
        <v/>
      </c>
      <c r="U10" s="46" t="inlineStr">
        <is>
          <t>Gestora, 05/08/26</t>
        </is>
      </c>
      <c r="V10" s="46" t="inlineStr">
        <is>
          <t>Acima do orçado (R$ 104,90) — conferir contrato</t>
        </is>
      </c>
    </row>
    <row r="11" ht="26" customHeight="1">
      <c r="A11" s="43">
        <f>Planejado!A11</f>
        <v/>
      </c>
      <c r="B11" s="43">
        <f>Planejado!B11</f>
        <v/>
      </c>
      <c r="C11" s="43">
        <f>Planejado!C11</f>
        <v/>
      </c>
      <c r="D11" s="44">
        <f>Planejado!D11</f>
        <v/>
      </c>
      <c r="E11" s="44">
        <f>Planejado!E11</f>
        <v/>
      </c>
      <c r="F11" s="43">
        <f>Planejado!F11</f>
        <v/>
      </c>
      <c r="G11" s="43">
        <f>Planejado!G11</f>
        <v/>
      </c>
      <c r="H11" s="45" t="n"/>
      <c r="I11" s="45" t="n"/>
      <c r="J11" s="45" t="n"/>
      <c r="K11" s="45" t="n"/>
      <c r="L11" s="45" t="n">
        <v>0</v>
      </c>
      <c r="M11" s="45" t="n">
        <v>0</v>
      </c>
      <c r="N11" s="45" t="n">
        <v>0</v>
      </c>
      <c r="O11" s="45" t="n"/>
      <c r="T11" s="41">
        <f>SUM(H11:S11)</f>
        <v/>
      </c>
      <c r="U11" s="46" t="inlineStr">
        <is>
          <t>Gestora, 05/08/26</t>
        </is>
      </c>
      <c r="V11" s="46" t="inlineStr">
        <is>
          <t>Cancelado — sem cobrança</t>
        </is>
      </c>
    </row>
    <row r="12" ht="26" customHeight="1">
      <c r="A12" s="43">
        <f>Planejado!A12</f>
        <v/>
      </c>
      <c r="B12" s="43">
        <f>Planejado!B12</f>
        <v/>
      </c>
      <c r="C12" s="43">
        <f>Planejado!C12</f>
        <v/>
      </c>
      <c r="D12" s="44">
        <f>Planejado!D12</f>
        <v/>
      </c>
      <c r="E12" s="44">
        <f>Planejado!E12</f>
        <v/>
      </c>
      <c r="F12" s="43">
        <f>Planejado!F12</f>
        <v/>
      </c>
      <c r="G12" s="43">
        <f>Planejado!G12</f>
        <v/>
      </c>
      <c r="H12" s="45" t="n"/>
      <c r="I12" s="45" t="n"/>
      <c r="J12" s="45" t="n"/>
      <c r="K12" s="45" t="n"/>
      <c r="L12" s="45" t="n">
        <v>970</v>
      </c>
      <c r="M12" s="45" t="n">
        <v>970</v>
      </c>
      <c r="N12" s="45" t="n">
        <v>970</v>
      </c>
      <c r="O12" s="45" t="n"/>
      <c r="T12" s="41">
        <f>SUM(H12:S12)</f>
        <v/>
      </c>
      <c r="U12" s="46" t="inlineStr">
        <is>
          <t>Gestora, 05/08/26</t>
        </is>
      </c>
      <c r="V12" s="46" t="n"/>
    </row>
    <row r="13" ht="26" customHeight="1">
      <c r="A13" s="43">
        <f>Planejado!A13</f>
        <v/>
      </c>
      <c r="B13" s="43">
        <f>Planejado!B13</f>
        <v/>
      </c>
      <c r="C13" s="43">
        <f>Planejado!C13</f>
        <v/>
      </c>
      <c r="D13" s="44">
        <f>Planejado!D13</f>
        <v/>
      </c>
      <c r="E13" s="44">
        <f>Planejado!E13</f>
        <v/>
      </c>
      <c r="F13" s="43">
        <f>Planejado!F13</f>
        <v/>
      </c>
      <c r="G13" s="43">
        <f>Planejado!G13</f>
        <v/>
      </c>
      <c r="H13" s="45" t="n"/>
      <c r="I13" s="45" t="n"/>
      <c r="J13" s="45" t="n"/>
      <c r="K13" s="45" t="n"/>
      <c r="L13" s="45" t="n">
        <v>0</v>
      </c>
      <c r="M13" s="45" t="n">
        <v>0</v>
      </c>
      <c r="N13" s="45" t="n">
        <v>0</v>
      </c>
      <c r="O13" s="45" t="n"/>
      <c r="T13" s="41">
        <f>SUM(H13:S13)</f>
        <v/>
      </c>
      <c r="U13" s="46" t="inlineStr">
        <is>
          <t>Gestora, 05/08/26</t>
        </is>
      </c>
      <c r="V13" s="46" t="inlineStr">
        <is>
          <t>Sem gasto no período</t>
        </is>
      </c>
    </row>
    <row r="14" ht="26" customHeight="1">
      <c r="A14" s="43">
        <f>Planejado!A14</f>
        <v/>
      </c>
      <c r="B14" s="43">
        <f>Planejado!B14</f>
        <v/>
      </c>
      <c r="C14" s="43">
        <f>Planejado!C14</f>
        <v/>
      </c>
      <c r="D14" s="44">
        <f>Planejado!D14</f>
        <v/>
      </c>
      <c r="E14" s="44">
        <f>Planejado!E14</f>
        <v/>
      </c>
      <c r="F14" s="43">
        <f>Planejado!F14</f>
        <v/>
      </c>
      <c r="G14" s="43">
        <f>Planejado!G14</f>
        <v/>
      </c>
      <c r="H14" s="45" t="n"/>
      <c r="I14" s="45" t="n"/>
      <c r="J14" s="45" t="n"/>
      <c r="K14" s="45" t="n"/>
      <c r="L14" s="45" t="n"/>
      <c r="M14" s="45" t="n"/>
      <c r="N14" s="45" t="n"/>
      <c r="O14" s="45" t="n"/>
      <c r="T14" s="41">
        <f>SUM(H14:S14)</f>
        <v/>
      </c>
      <c r="U14" s="46" t="n"/>
      <c r="V14" s="46" t="inlineStr">
        <is>
          <t>Bonificação de ago/26 a confirmar</t>
        </is>
      </c>
    </row>
    <row r="15" ht="26" customHeight="1">
      <c r="A15" s="43">
        <f>Planejado!A15</f>
        <v/>
      </c>
      <c r="B15" s="43">
        <f>Planejado!B15</f>
        <v/>
      </c>
      <c r="C15" s="43">
        <f>Planejado!C15</f>
        <v/>
      </c>
      <c r="D15" s="44">
        <f>Planejado!D15</f>
        <v/>
      </c>
      <c r="E15" s="44">
        <f>Planejado!E15</f>
        <v/>
      </c>
      <c r="F15" s="43">
        <f>Planejado!F15</f>
        <v/>
      </c>
      <c r="G15" s="43">
        <f>Planejado!G15</f>
        <v/>
      </c>
      <c r="H15" s="45" t="n"/>
      <c r="I15" s="45" t="n"/>
      <c r="J15" s="45" t="n"/>
      <c r="K15" s="45" t="n"/>
      <c r="L15" s="45" t="n">
        <v>2570.52</v>
      </c>
      <c r="M15" s="45" t="n">
        <v>2570.52</v>
      </c>
      <c r="N15" s="45" t="n">
        <v>2570.52</v>
      </c>
      <c r="O15" s="45" t="n"/>
      <c r="T15" s="41">
        <f>SUM(H15:S15)</f>
        <v/>
      </c>
      <c r="U15" s="46" t="inlineStr">
        <is>
          <t>Gestora, 05/08/26</t>
        </is>
      </c>
      <c r="V15" s="46" t="inlineStr">
        <is>
          <t>Salário bruto vigente até jul; sobe para R$ 3.070,52 em ago</t>
        </is>
      </c>
    </row>
    <row r="16" ht="26" customHeight="1">
      <c r="A16" s="43">
        <f>Planejado!A16</f>
        <v/>
      </c>
      <c r="B16" s="43">
        <f>Planejado!B16</f>
        <v/>
      </c>
      <c r="C16" s="43">
        <f>Planejado!C16</f>
        <v/>
      </c>
      <c r="D16" s="44">
        <f>Planejado!D16</f>
        <v/>
      </c>
      <c r="E16" s="44">
        <f>Planejado!E16</f>
        <v/>
      </c>
      <c r="F16" s="43">
        <f>Planejado!F16</f>
        <v/>
      </c>
      <c r="G16" s="43">
        <f>Planejado!G16</f>
        <v/>
      </c>
      <c r="H16" s="45" t="n"/>
      <c r="I16" s="45" t="n"/>
      <c r="J16" s="45" t="n"/>
      <c r="K16" s="45" t="n"/>
      <c r="L16" s="45" t="n"/>
      <c r="M16" s="45" t="n"/>
      <c r="N16" s="45" t="n"/>
      <c r="O16" s="45" t="n"/>
      <c r="T16" s="41">
        <f>SUM(H16:S16)</f>
        <v/>
      </c>
      <c r="U16" s="46" t="n"/>
      <c r="V16" s="46" t="inlineStr">
        <is>
          <t>PREENCHER — encargos e benefícios sobre o bruto</t>
        </is>
      </c>
    </row>
    <row r="17" ht="26" customHeight="1">
      <c r="A17" s="43">
        <f>Planejado!A17</f>
        <v/>
      </c>
      <c r="B17" s="43">
        <f>Planejado!B17</f>
        <v/>
      </c>
      <c r="C17" s="43">
        <f>Planejado!C17</f>
        <v/>
      </c>
      <c r="D17" s="44">
        <f>Planejado!D17</f>
        <v/>
      </c>
      <c r="E17" s="44">
        <f>Planejado!E17</f>
        <v/>
      </c>
      <c r="F17" s="43">
        <f>Planejado!F17</f>
        <v/>
      </c>
      <c r="G17" s="43">
        <f>Planejado!G17</f>
        <v/>
      </c>
      <c r="H17" s="45" t="n"/>
      <c r="I17" s="45" t="n"/>
      <c r="J17" s="45" t="n"/>
      <c r="K17" s="45" t="n"/>
      <c r="L17" s="45" t="n">
        <v>0</v>
      </c>
      <c r="M17" s="45" t="n">
        <v>0</v>
      </c>
      <c r="N17" s="45" t="n">
        <v>0</v>
      </c>
      <c r="O17" s="45" t="n"/>
      <c r="T17" s="41">
        <f>SUM(H17:S17)</f>
        <v/>
      </c>
      <c r="U17" s="46" t="inlineStr">
        <is>
          <t>Gestora, 05/08/26</t>
        </is>
      </c>
      <c r="V17" s="46" t="inlineStr">
        <is>
          <t>Sem acionamento no período — confirmar se o contrato segue ativo</t>
        </is>
      </c>
    </row>
    <row r="18" ht="26" customHeight="1">
      <c r="A18" s="43">
        <f>Planejado!A18</f>
        <v/>
      </c>
      <c r="B18" s="43">
        <f>Planejado!B18</f>
        <v/>
      </c>
      <c r="C18" s="43">
        <f>Planejado!C18</f>
        <v/>
      </c>
      <c r="D18" s="44">
        <f>Planejado!D18</f>
        <v/>
      </c>
      <c r="E18" s="44">
        <f>Planejado!E18</f>
        <v/>
      </c>
      <c r="F18" s="43">
        <f>Planejado!F18</f>
        <v/>
      </c>
      <c r="G18" s="43">
        <f>Planejado!G18</f>
        <v/>
      </c>
      <c r="H18" s="45" t="n"/>
      <c r="I18" s="45" t="n"/>
      <c r="J18" s="45" t="n"/>
      <c r="K18" s="45" t="n"/>
      <c r="L18" s="45" t="n">
        <v>6300</v>
      </c>
      <c r="M18" s="45" t="n">
        <v>6300</v>
      </c>
      <c r="N18" s="45" t="n">
        <v>6300</v>
      </c>
      <c r="O18" s="45" t="n"/>
      <c r="T18" s="41">
        <f>SUM(H18:S18)</f>
        <v/>
      </c>
      <c r="U18" s="46" t="inlineStr">
        <is>
          <t>Gestora, 05/08/26</t>
        </is>
      </c>
      <c r="V18" s="46" t="inlineStr">
        <is>
          <t>R$ 3.700/mês abaixo do contratado — confirmar escopo</t>
        </is>
      </c>
    </row>
    <row r="19" ht="26" customHeight="1">
      <c r="A19" s="43">
        <f>Planejado!A19</f>
        <v/>
      </c>
      <c r="B19" s="43">
        <f>Planejado!B19</f>
        <v/>
      </c>
      <c r="C19" s="43">
        <f>Planejado!C19</f>
        <v/>
      </c>
      <c r="D19" s="44">
        <f>Planejado!D19</f>
        <v/>
      </c>
      <c r="E19" s="44">
        <f>Planejado!E19</f>
        <v/>
      </c>
      <c r="F19" s="43">
        <f>Planejado!F19</f>
        <v/>
      </c>
      <c r="G19" s="43">
        <f>Planejado!G19</f>
        <v/>
      </c>
      <c r="H19" s="45" t="n"/>
      <c r="I19" s="45" t="n"/>
      <c r="J19" s="45" t="n"/>
      <c r="K19" s="45" t="n"/>
      <c r="L19" s="45" t="n"/>
      <c r="M19" s="45" t="n"/>
      <c r="N19" s="45" t="n"/>
      <c r="O19" s="45" t="n"/>
      <c r="T19" s="41">
        <f>SUM(H19:S19)</f>
        <v/>
      </c>
      <c r="U19" s="46" t="n"/>
      <c r="V19" s="46" t="n"/>
    </row>
    <row r="20" ht="26" customHeight="1">
      <c r="A20" s="43">
        <f>Planejado!A20</f>
        <v/>
      </c>
      <c r="B20" s="43">
        <f>Planejado!B20</f>
        <v/>
      </c>
      <c r="C20" s="43">
        <f>Planejado!C20</f>
        <v/>
      </c>
      <c r="D20" s="44">
        <f>Planejado!D20</f>
        <v/>
      </c>
      <c r="E20" s="44">
        <f>Planejado!E20</f>
        <v/>
      </c>
      <c r="F20" s="43">
        <f>Planejado!F20</f>
        <v/>
      </c>
      <c r="G20" s="43">
        <f>Planejado!G20</f>
        <v/>
      </c>
      <c r="H20" s="45" t="n"/>
      <c r="I20" s="45" t="n"/>
      <c r="J20" s="45" t="n"/>
      <c r="K20" s="45" t="n"/>
      <c r="L20" s="45" t="n"/>
      <c r="M20" s="45" t="n"/>
      <c r="N20" s="45" t="n"/>
      <c r="O20" s="45" t="n"/>
      <c r="T20" s="41">
        <f>SUM(H20:S20)</f>
        <v/>
      </c>
      <c r="U20" s="46" t="n"/>
      <c r="V20" s="46" t="n"/>
    </row>
    <row r="21" ht="26" customHeight="1">
      <c r="A21" s="43">
        <f>Planejado!A21</f>
        <v/>
      </c>
      <c r="B21" s="43">
        <f>Planejado!B21</f>
        <v/>
      </c>
      <c r="C21" s="43">
        <f>Planejado!C21</f>
        <v/>
      </c>
      <c r="D21" s="44">
        <f>Planejado!D21</f>
        <v/>
      </c>
      <c r="E21" s="44">
        <f>Planejado!E21</f>
        <v/>
      </c>
      <c r="F21" s="43">
        <f>Planejado!F21</f>
        <v/>
      </c>
      <c r="G21" s="43">
        <f>Planejado!G21</f>
        <v/>
      </c>
      <c r="H21" s="45" t="n"/>
      <c r="I21" s="45" t="n"/>
      <c r="J21" s="45" t="n"/>
      <c r="K21" s="45" t="n"/>
      <c r="L21" s="45" t="n"/>
      <c r="M21" s="45" t="n"/>
      <c r="N21" s="45" t="n"/>
      <c r="O21" s="45" t="n"/>
      <c r="T21" s="41">
        <f>SUM(H21:S21)</f>
        <v/>
      </c>
      <c r="U21" s="46" t="n"/>
      <c r="V21" s="46" t="n"/>
    </row>
    <row r="22" ht="26" customHeight="1">
      <c r="A22" s="43">
        <f>Planejado!A22</f>
        <v/>
      </c>
      <c r="B22" s="43">
        <f>Planejado!B22</f>
        <v/>
      </c>
      <c r="C22" s="43">
        <f>Planejado!C22</f>
        <v/>
      </c>
      <c r="D22" s="44">
        <f>Planejado!D22</f>
        <v/>
      </c>
      <c r="E22" s="44">
        <f>Planejado!E22</f>
        <v/>
      </c>
      <c r="F22" s="43">
        <f>Planejado!F22</f>
        <v/>
      </c>
      <c r="G22" s="43">
        <f>Planejado!G22</f>
        <v/>
      </c>
      <c r="H22" s="45" t="n"/>
      <c r="I22" s="45" t="n"/>
      <c r="J22" s="45" t="n"/>
      <c r="K22" s="45" t="n"/>
      <c r="L22" s="45" t="n"/>
      <c r="M22" s="45" t="n"/>
      <c r="N22" s="45" t="n"/>
      <c r="O22" s="45" t="n"/>
      <c r="T22" s="41">
        <f>SUM(H22:S22)</f>
        <v/>
      </c>
      <c r="U22" s="46" t="n"/>
      <c r="V22" s="46" t="n"/>
    </row>
    <row r="23" ht="26" customHeight="1">
      <c r="A23" s="43">
        <f>Planejado!A23</f>
        <v/>
      </c>
      <c r="B23" s="43">
        <f>Planejado!B23</f>
        <v/>
      </c>
      <c r="C23" s="43">
        <f>Planejado!C23</f>
        <v/>
      </c>
      <c r="D23" s="44">
        <f>Planejado!D23</f>
        <v/>
      </c>
      <c r="E23" s="44">
        <f>Planejado!E23</f>
        <v/>
      </c>
      <c r="F23" s="43">
        <f>Planejado!F23</f>
        <v/>
      </c>
      <c r="G23" s="43">
        <f>Planejado!G23</f>
        <v/>
      </c>
      <c r="H23" s="45" t="n"/>
      <c r="I23" s="45" t="n"/>
      <c r="J23" s="45" t="n"/>
      <c r="K23" s="45" t="n"/>
      <c r="L23" s="45" t="n"/>
      <c r="M23" s="45" t="n"/>
      <c r="N23" s="45" t="n"/>
      <c r="O23" s="45" t="n"/>
      <c r="T23" s="41">
        <f>SUM(H23:S23)</f>
        <v/>
      </c>
      <c r="U23" s="46" t="n"/>
      <c r="V23" s="46" t="n"/>
    </row>
    <row r="24" ht="26" customHeight="1">
      <c r="A24" s="43">
        <f>Planejado!A24</f>
        <v/>
      </c>
      <c r="B24" s="43">
        <f>Planejado!B24</f>
        <v/>
      </c>
      <c r="C24" s="43">
        <f>Planejado!C24</f>
        <v/>
      </c>
      <c r="D24" s="44">
        <f>Planejado!D24</f>
        <v/>
      </c>
      <c r="E24" s="44">
        <f>Planejado!E24</f>
        <v/>
      </c>
      <c r="F24" s="43">
        <f>Planejado!F24</f>
        <v/>
      </c>
      <c r="G24" s="43">
        <f>Planejado!G24</f>
        <v/>
      </c>
      <c r="H24" s="45" t="n"/>
      <c r="I24" s="45" t="n"/>
      <c r="J24" s="45" t="n"/>
      <c r="K24" s="45" t="n"/>
      <c r="L24" s="45" t="n"/>
      <c r="M24" s="45" t="n"/>
      <c r="N24" s="45" t="n"/>
      <c r="O24" s="45" t="n"/>
      <c r="T24" s="41">
        <f>SUM(H24:S24)</f>
        <v/>
      </c>
      <c r="U24" s="46" t="n"/>
      <c r="V24" s="46" t="n"/>
    </row>
    <row r="25" ht="26" customHeight="1">
      <c r="A25" s="43">
        <f>Planejado!A25</f>
        <v/>
      </c>
      <c r="B25" s="43">
        <f>Planejado!B25</f>
        <v/>
      </c>
      <c r="C25" s="43">
        <f>Planejado!C25</f>
        <v/>
      </c>
      <c r="D25" s="44">
        <f>Planejado!D25</f>
        <v/>
      </c>
      <c r="E25" s="44">
        <f>Planejado!E25</f>
        <v/>
      </c>
      <c r="F25" s="43">
        <f>Planejado!F25</f>
        <v/>
      </c>
      <c r="G25" s="43">
        <f>Planejado!G25</f>
        <v/>
      </c>
      <c r="H25" s="45" t="n"/>
      <c r="I25" s="45" t="n"/>
      <c r="J25" s="45" t="n"/>
      <c r="K25" s="45" t="n"/>
      <c r="L25" s="45" t="n"/>
      <c r="M25" s="45" t="n"/>
      <c r="N25" s="45" t="n"/>
      <c r="O25" s="45" t="n"/>
      <c r="T25" s="41">
        <f>SUM(H25:S25)</f>
        <v/>
      </c>
      <c r="U25" s="46" t="n"/>
      <c r="V25" s="46" t="n"/>
    </row>
    <row r="26" ht="26" customHeight="1">
      <c r="A26" s="43">
        <f>Planejado!A26</f>
        <v/>
      </c>
      <c r="B26" s="43">
        <f>Planejado!B26</f>
        <v/>
      </c>
      <c r="C26" s="43">
        <f>Planejado!C26</f>
        <v/>
      </c>
      <c r="D26" s="44">
        <f>Planejado!D26</f>
        <v/>
      </c>
      <c r="E26" s="44">
        <f>Planejado!E26</f>
        <v/>
      </c>
      <c r="F26" s="43">
        <f>Planejado!F26</f>
        <v/>
      </c>
      <c r="G26" s="43">
        <f>Planejado!G26</f>
        <v/>
      </c>
      <c r="H26" s="45" t="n"/>
      <c r="I26" s="45" t="n"/>
      <c r="J26" s="45" t="n"/>
      <c r="K26" s="45" t="n"/>
      <c r="L26" s="45" t="n"/>
      <c r="M26" s="45" t="n"/>
      <c r="N26" s="45" t="n"/>
      <c r="O26" s="45" t="n"/>
      <c r="T26" s="41">
        <f>SUM(H26:S26)</f>
        <v/>
      </c>
      <c r="U26" s="46" t="n"/>
      <c r="V26" s="46" t="n"/>
    </row>
    <row r="27" ht="26" customHeight="1">
      <c r="A27" s="43">
        <f>Planejado!A27</f>
        <v/>
      </c>
      <c r="B27" s="43">
        <f>Planejado!B27</f>
        <v/>
      </c>
      <c r="C27" s="43">
        <f>Planejado!C27</f>
        <v/>
      </c>
      <c r="D27" s="44">
        <f>Planejado!D27</f>
        <v/>
      </c>
      <c r="E27" s="44">
        <f>Planejado!E27</f>
        <v/>
      </c>
      <c r="F27" s="43">
        <f>Planejado!F27</f>
        <v/>
      </c>
      <c r="G27" s="43">
        <f>Planejado!G27</f>
        <v/>
      </c>
      <c r="H27" s="45" t="n"/>
      <c r="I27" s="45" t="n"/>
      <c r="J27" s="45" t="n"/>
      <c r="K27" s="45" t="n"/>
      <c r="L27" s="45" t="n"/>
      <c r="M27" s="45" t="n"/>
      <c r="N27" s="45" t="n"/>
      <c r="O27" s="45" t="n"/>
      <c r="T27" s="41">
        <f>SUM(H27:S27)</f>
        <v/>
      </c>
      <c r="U27" s="46" t="n"/>
      <c r="V27" s="46" t="n"/>
    </row>
    <row r="28">
      <c r="A28" s="47" t="inlineStr">
        <is>
          <t>TOTAL GERAL</t>
        </is>
      </c>
      <c r="B28" s="47" t="n"/>
      <c r="C28" s="47" t="n"/>
      <c r="D28" s="47" t="n"/>
      <c r="E28" s="47" t="n"/>
      <c r="F28" s="47" t="n"/>
      <c r="G28" s="47" t="n"/>
      <c r="H28" s="48">
        <f>SUM(H5:H27)</f>
        <v/>
      </c>
      <c r="I28" s="48">
        <f>SUM(I5:I27)</f>
        <v/>
      </c>
      <c r="J28" s="48">
        <f>SUM(J5:J27)</f>
        <v/>
      </c>
      <c r="K28" s="48">
        <f>SUM(K5:K27)</f>
        <v/>
      </c>
      <c r="L28" s="48">
        <f>SUM(L5:L27)</f>
        <v/>
      </c>
      <c r="M28" s="48">
        <f>SUM(M5:M27)</f>
        <v/>
      </c>
      <c r="N28" s="48">
        <f>SUM(N5:N27)</f>
        <v/>
      </c>
      <c r="O28" s="48">
        <f>SUM(O5:O27)</f>
        <v/>
      </c>
      <c r="P28" s="48">
        <f>SUM(P5:P27)</f>
        <v/>
      </c>
      <c r="Q28" s="48">
        <f>SUM(Q5:Q27)</f>
        <v/>
      </c>
      <c r="R28" s="48">
        <f>SUM(R5:R27)</f>
        <v/>
      </c>
      <c r="S28" s="48">
        <f>SUM(S5:S27)</f>
        <v/>
      </c>
      <c r="T28" s="48">
        <f>SUM(T5:T27)</f>
        <v/>
      </c>
      <c r="U28" s="47" t="n"/>
      <c r="V28" s="47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8" customWidth="1" min="8" max="8"/>
    <col width="18" customWidth="1" min="9" max="9"/>
    <col width="18" customWidth="1" min="10" max="10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6" t="inlineStr">
        <is>
          <t>Mês</t>
        </is>
      </c>
      <c r="B4" s="6" t="inlineStr">
        <is>
          <t>Jurídico Plan.</t>
        </is>
      </c>
      <c r="C4" s="6" t="inlineStr">
        <is>
          <t>Jurídico Real.</t>
        </is>
      </c>
      <c r="D4" s="6" t="inlineStr">
        <is>
          <t>TI Plan.</t>
        </is>
      </c>
      <c r="E4" s="6" t="inlineStr">
        <is>
          <t>TI Real.</t>
        </is>
      </c>
      <c r="F4" s="6" t="inlineStr">
        <is>
          <t>Total Plan.</t>
        </is>
      </c>
      <c r="G4" s="6" t="inlineStr">
        <is>
          <t>Total Real.</t>
        </is>
      </c>
      <c r="H4" s="6" t="inlineStr">
        <is>
          <t>Desvio do mês (R$)</t>
        </is>
      </c>
      <c r="I4" s="6" t="inlineStr">
        <is>
          <t>Planejado acum.</t>
        </is>
      </c>
      <c r="J4" s="6" t="inlineStr">
        <is>
          <t>Realizado acum.</t>
        </is>
      </c>
    </row>
    <row r="5" ht="20" customHeight="1">
      <c r="A5" s="49" t="inlineStr">
        <is>
          <t>Jan/26</t>
        </is>
      </c>
      <c r="B5" s="30">
        <f>SUMIFS(Planejado!$H$5:$H$27,Planejado!$B$5:$B$27,"Jurídico")</f>
        <v/>
      </c>
      <c r="C5" s="30">
        <f>SUMIFS(Realizado!$H$5:$H$27,Realizado!$B$5:$B$27,"Jurídico")</f>
        <v/>
      </c>
      <c r="D5" s="30">
        <f>SUMIFS(Planejado!$H$5:$H$27,Planejado!$B$5:$B$27,"TI")</f>
        <v/>
      </c>
      <c r="E5" s="30">
        <f>SUMIFS(Realizado!$H$5:$H$27,Realizado!$B$5:$B$27,"TI")</f>
        <v/>
      </c>
      <c r="F5" s="30">
        <f>B5+D5</f>
        <v/>
      </c>
      <c r="G5" s="30">
        <f>C5+E5</f>
        <v/>
      </c>
      <c r="H5" s="30">
        <f>G5-F5</f>
        <v/>
      </c>
      <c r="I5" s="30">
        <f>SUM($F$5:F5)</f>
        <v/>
      </c>
      <c r="J5" s="30">
        <f>SUM($G$5:G5)</f>
        <v/>
      </c>
    </row>
    <row r="6" ht="20" customHeight="1">
      <c r="A6" s="50" t="inlineStr">
        <is>
          <t>Fev/26</t>
        </is>
      </c>
      <c r="B6" s="36">
        <f>SUMIFS(Planejado!$I$5:$I$27,Planejado!$B$5:$B$27,"Jurídico")</f>
        <v/>
      </c>
      <c r="C6" s="36">
        <f>SUMIFS(Realizado!$I$5:$I$27,Realizado!$B$5:$B$27,"Jurídico")</f>
        <v/>
      </c>
      <c r="D6" s="36">
        <f>SUMIFS(Planejado!$I$5:$I$27,Planejado!$B$5:$B$27,"TI")</f>
        <v/>
      </c>
      <c r="E6" s="36">
        <f>SUMIFS(Realizado!$I$5:$I$27,Realizado!$B$5:$B$27,"TI")</f>
        <v/>
      </c>
      <c r="F6" s="36">
        <f>B6+D6</f>
        <v/>
      </c>
      <c r="G6" s="36">
        <f>C6+E6</f>
        <v/>
      </c>
      <c r="H6" s="36">
        <f>G6-F6</f>
        <v/>
      </c>
      <c r="I6" s="36">
        <f>SUM($F$5:F6)</f>
        <v/>
      </c>
      <c r="J6" s="36">
        <f>SUM($G$5:G6)</f>
        <v/>
      </c>
    </row>
    <row r="7" ht="20" customHeight="1">
      <c r="A7" s="49" t="inlineStr">
        <is>
          <t>Mar/26</t>
        </is>
      </c>
      <c r="B7" s="30">
        <f>SUMIFS(Planejado!$J$5:$J$27,Planejado!$B$5:$B$27,"Jurídico")</f>
        <v/>
      </c>
      <c r="C7" s="30">
        <f>SUMIFS(Realizado!$J$5:$J$27,Realizado!$B$5:$B$27,"Jurídico")</f>
        <v/>
      </c>
      <c r="D7" s="30">
        <f>SUMIFS(Planejado!$J$5:$J$27,Planejado!$B$5:$B$27,"TI")</f>
        <v/>
      </c>
      <c r="E7" s="30">
        <f>SUMIFS(Realizado!$J$5:$J$27,Realizado!$B$5:$B$27,"TI")</f>
        <v/>
      </c>
      <c r="F7" s="30">
        <f>B7+D7</f>
        <v/>
      </c>
      <c r="G7" s="30">
        <f>C7+E7</f>
        <v/>
      </c>
      <c r="H7" s="30">
        <f>G7-F7</f>
        <v/>
      </c>
      <c r="I7" s="30">
        <f>SUM($F$5:F7)</f>
        <v/>
      </c>
      <c r="J7" s="30">
        <f>SUM($G$5:G7)</f>
        <v/>
      </c>
    </row>
    <row r="8" ht="20" customHeight="1">
      <c r="A8" s="50" t="inlineStr">
        <is>
          <t>Abr/26</t>
        </is>
      </c>
      <c r="B8" s="36">
        <f>SUMIFS(Planejado!$K$5:$K$27,Planejado!$B$5:$B$27,"Jurídico")</f>
        <v/>
      </c>
      <c r="C8" s="36">
        <f>SUMIFS(Realizado!$K$5:$K$27,Realizado!$B$5:$B$27,"Jurídico")</f>
        <v/>
      </c>
      <c r="D8" s="36">
        <f>SUMIFS(Planejado!$K$5:$K$27,Planejado!$B$5:$B$27,"TI")</f>
        <v/>
      </c>
      <c r="E8" s="36">
        <f>SUMIFS(Realizado!$K$5:$K$27,Realizado!$B$5:$B$27,"TI")</f>
        <v/>
      </c>
      <c r="F8" s="36">
        <f>B8+D8</f>
        <v/>
      </c>
      <c r="G8" s="36">
        <f>C8+E8</f>
        <v/>
      </c>
      <c r="H8" s="36">
        <f>G8-F8</f>
        <v/>
      </c>
      <c r="I8" s="36">
        <f>SUM($F$5:F8)</f>
        <v/>
      </c>
      <c r="J8" s="36">
        <f>SUM($G$5:G8)</f>
        <v/>
      </c>
    </row>
    <row r="9" ht="20" customHeight="1">
      <c r="A9" s="49" t="inlineStr">
        <is>
          <t>Mai/26</t>
        </is>
      </c>
      <c r="B9" s="30">
        <f>SUMIFS(Planejado!$L$5:$L$27,Planejado!$B$5:$B$27,"Jurídico")</f>
        <v/>
      </c>
      <c r="C9" s="30">
        <f>SUMIFS(Realizado!$L$5:$L$27,Realizado!$B$5:$B$27,"Jurídico")</f>
        <v/>
      </c>
      <c r="D9" s="30">
        <f>SUMIFS(Planejado!$L$5:$L$27,Planejado!$B$5:$B$27,"TI")</f>
        <v/>
      </c>
      <c r="E9" s="30">
        <f>SUMIFS(Realizado!$L$5:$L$27,Realizado!$B$5:$B$27,"TI")</f>
        <v/>
      </c>
      <c r="F9" s="30">
        <f>B9+D9</f>
        <v/>
      </c>
      <c r="G9" s="30">
        <f>C9+E9</f>
        <v/>
      </c>
      <c r="H9" s="30">
        <f>G9-F9</f>
        <v/>
      </c>
      <c r="I9" s="30">
        <f>SUM($F$5:F9)</f>
        <v/>
      </c>
      <c r="J9" s="30">
        <f>SUM($G$5:G9)</f>
        <v/>
      </c>
    </row>
    <row r="10" ht="20" customHeight="1">
      <c r="A10" s="50" t="inlineStr">
        <is>
          <t>Jun/26</t>
        </is>
      </c>
      <c r="B10" s="36">
        <f>SUMIFS(Planejado!$M$5:$M$27,Planejado!$B$5:$B$27,"Jurídico")</f>
        <v/>
      </c>
      <c r="C10" s="36">
        <f>SUMIFS(Realizado!$M$5:$M$27,Realizado!$B$5:$B$27,"Jurídico")</f>
        <v/>
      </c>
      <c r="D10" s="36">
        <f>SUMIFS(Planejado!$M$5:$M$27,Planejado!$B$5:$B$27,"TI")</f>
        <v/>
      </c>
      <c r="E10" s="36">
        <f>SUMIFS(Realizado!$M$5:$M$27,Realizado!$B$5:$B$27,"TI")</f>
        <v/>
      </c>
      <c r="F10" s="36">
        <f>B10+D10</f>
        <v/>
      </c>
      <c r="G10" s="36">
        <f>C10+E10</f>
        <v/>
      </c>
      <c r="H10" s="36">
        <f>G10-F10</f>
        <v/>
      </c>
      <c r="I10" s="36">
        <f>SUM($F$5:F10)</f>
        <v/>
      </c>
      <c r="J10" s="36">
        <f>SUM($G$5:G10)</f>
        <v/>
      </c>
    </row>
    <row r="11" ht="20" customHeight="1">
      <c r="A11" s="49" t="inlineStr">
        <is>
          <t>Jul/26</t>
        </is>
      </c>
      <c r="B11" s="30">
        <f>SUMIFS(Planejado!$N$5:$N$27,Planejado!$B$5:$B$27,"Jurídico")</f>
        <v/>
      </c>
      <c r="C11" s="30">
        <f>SUMIFS(Realizado!$N$5:$N$27,Realizado!$B$5:$B$27,"Jurídico")</f>
        <v/>
      </c>
      <c r="D11" s="30">
        <f>SUMIFS(Planejado!$N$5:$N$27,Planejado!$B$5:$B$27,"TI")</f>
        <v/>
      </c>
      <c r="E11" s="30">
        <f>SUMIFS(Realizado!$N$5:$N$27,Realizado!$B$5:$B$27,"TI")</f>
        <v/>
      </c>
      <c r="F11" s="30">
        <f>B11+D11</f>
        <v/>
      </c>
      <c r="G11" s="30">
        <f>C11+E11</f>
        <v/>
      </c>
      <c r="H11" s="30">
        <f>G11-F11</f>
        <v/>
      </c>
      <c r="I11" s="30">
        <f>SUM($F$5:F11)</f>
        <v/>
      </c>
      <c r="J11" s="30">
        <f>SUM($G$5:G11)</f>
        <v/>
      </c>
    </row>
    <row r="12" ht="20" customHeight="1">
      <c r="A12" s="50" t="inlineStr">
        <is>
          <t>Ago/26</t>
        </is>
      </c>
      <c r="B12" s="36">
        <f>SUMIFS(Planejado!$O$5:$O$27,Planejado!$B$5:$B$27,"Jurídico")</f>
        <v/>
      </c>
      <c r="C12" s="36">
        <f>SUMIFS(Realizado!$O$5:$O$27,Realizado!$B$5:$B$27,"Jurídico")</f>
        <v/>
      </c>
      <c r="D12" s="36">
        <f>SUMIFS(Planejado!$O$5:$O$27,Planejado!$B$5:$B$27,"TI")</f>
        <v/>
      </c>
      <c r="E12" s="36">
        <f>SUMIFS(Realizado!$O$5:$O$27,Realizado!$B$5:$B$27,"TI")</f>
        <v/>
      </c>
      <c r="F12" s="36">
        <f>B12+D12</f>
        <v/>
      </c>
      <c r="G12" s="36">
        <f>C12+E12</f>
        <v/>
      </c>
      <c r="H12" s="36">
        <f>G12-F12</f>
        <v/>
      </c>
      <c r="I12" s="36">
        <f>SUM($F$5:F12)</f>
        <v/>
      </c>
      <c r="J12" s="36">
        <f>SUM($G$5:G12)</f>
        <v/>
      </c>
    </row>
    <row r="13" ht="20" customHeight="1">
      <c r="A13" s="49" t="inlineStr">
        <is>
          <t>Set/26</t>
        </is>
      </c>
      <c r="B13" s="30">
        <f>SUMIFS(Planejado!$P$5:$P$27,Planejado!$B$5:$B$27,"Jurídico")</f>
        <v/>
      </c>
      <c r="C13" s="30">
        <f>SUMIFS(Realizado!$P$5:$P$27,Realizado!$B$5:$B$27,"Jurídico")</f>
        <v/>
      </c>
      <c r="D13" s="30">
        <f>SUMIFS(Planejado!$P$5:$P$27,Planejado!$B$5:$B$27,"TI")</f>
        <v/>
      </c>
      <c r="E13" s="30">
        <f>SUMIFS(Realizado!$P$5:$P$27,Realizado!$B$5:$B$27,"TI")</f>
        <v/>
      </c>
      <c r="F13" s="30">
        <f>B13+D13</f>
        <v/>
      </c>
      <c r="G13" s="30">
        <f>C13+E13</f>
        <v/>
      </c>
      <c r="H13" s="30">
        <f>G13-F13</f>
        <v/>
      </c>
      <c r="I13" s="30">
        <f>SUM($F$5:F13)</f>
        <v/>
      </c>
      <c r="J13" s="30">
        <f>SUM($G$5:G13)</f>
        <v/>
      </c>
    </row>
    <row r="14" ht="20" customHeight="1">
      <c r="A14" s="50" t="inlineStr">
        <is>
          <t>Out/26</t>
        </is>
      </c>
      <c r="B14" s="36">
        <f>SUMIFS(Planejado!$Q$5:$Q$27,Planejado!$B$5:$B$27,"Jurídico")</f>
        <v/>
      </c>
      <c r="C14" s="36">
        <f>SUMIFS(Realizado!$Q$5:$Q$27,Realizado!$B$5:$B$27,"Jurídico")</f>
        <v/>
      </c>
      <c r="D14" s="36">
        <f>SUMIFS(Planejado!$Q$5:$Q$27,Planejado!$B$5:$B$27,"TI")</f>
        <v/>
      </c>
      <c r="E14" s="36">
        <f>SUMIFS(Realizado!$Q$5:$Q$27,Realizado!$B$5:$B$27,"TI")</f>
        <v/>
      </c>
      <c r="F14" s="36">
        <f>B14+D14</f>
        <v/>
      </c>
      <c r="G14" s="36">
        <f>C14+E14</f>
        <v/>
      </c>
      <c r="H14" s="36">
        <f>G14-F14</f>
        <v/>
      </c>
      <c r="I14" s="36">
        <f>SUM($F$5:F14)</f>
        <v/>
      </c>
      <c r="J14" s="36">
        <f>SUM($G$5:G14)</f>
        <v/>
      </c>
    </row>
    <row r="15" ht="20" customHeight="1">
      <c r="A15" s="49" t="inlineStr">
        <is>
          <t>Nov/26</t>
        </is>
      </c>
      <c r="B15" s="30">
        <f>SUMIFS(Planejado!$R$5:$R$27,Planejado!$B$5:$B$27,"Jurídico")</f>
        <v/>
      </c>
      <c r="C15" s="30">
        <f>SUMIFS(Realizado!$R$5:$R$27,Realizado!$B$5:$B$27,"Jurídico")</f>
        <v/>
      </c>
      <c r="D15" s="30">
        <f>SUMIFS(Planejado!$R$5:$R$27,Planejado!$B$5:$B$27,"TI")</f>
        <v/>
      </c>
      <c r="E15" s="30">
        <f>SUMIFS(Realizado!$R$5:$R$27,Realizado!$B$5:$B$27,"TI")</f>
        <v/>
      </c>
      <c r="F15" s="30">
        <f>B15+D15</f>
        <v/>
      </c>
      <c r="G15" s="30">
        <f>C15+E15</f>
        <v/>
      </c>
      <c r="H15" s="30">
        <f>G15-F15</f>
        <v/>
      </c>
      <c r="I15" s="30">
        <f>SUM($F$5:F15)</f>
        <v/>
      </c>
      <c r="J15" s="30">
        <f>SUM($G$5:G15)</f>
        <v/>
      </c>
    </row>
    <row r="16" ht="20" customHeight="1">
      <c r="A16" s="50" t="inlineStr">
        <is>
          <t>Dez/26</t>
        </is>
      </c>
      <c r="B16" s="36">
        <f>SUMIFS(Planejado!$S$5:$S$27,Planejado!$B$5:$B$27,"Jurídico")</f>
        <v/>
      </c>
      <c r="C16" s="36">
        <f>SUMIFS(Realizado!$S$5:$S$27,Realizado!$B$5:$B$27,"Jurídico")</f>
        <v/>
      </c>
      <c r="D16" s="36">
        <f>SUMIFS(Planejado!$S$5:$S$27,Planejado!$B$5:$B$27,"TI")</f>
        <v/>
      </c>
      <c r="E16" s="36">
        <f>SUMIFS(Realizado!$S$5:$S$27,Realizado!$B$5:$B$27,"TI")</f>
        <v/>
      </c>
      <c r="F16" s="36">
        <f>B16+D16</f>
        <v/>
      </c>
      <c r="G16" s="36">
        <f>C16+E16</f>
        <v/>
      </c>
      <c r="H16" s="36">
        <f>G16-F16</f>
        <v/>
      </c>
      <c r="I16" s="36">
        <f>SUM($F$5:F16)</f>
        <v/>
      </c>
      <c r="J16" s="36">
        <f>SUM($G$5:G16)</f>
        <v/>
      </c>
    </row>
    <row r="17">
      <c r="A17" s="15" t="inlineStr">
        <is>
          <t>TOTAL</t>
        </is>
      </c>
      <c r="B17" s="16">
        <f>SUM(B5:B16)</f>
        <v/>
      </c>
      <c r="C17" s="16">
        <f>SUM(C5:C16)</f>
        <v/>
      </c>
      <c r="D17" s="16">
        <f>SUM(D5:D16)</f>
        <v/>
      </c>
      <c r="E17" s="16">
        <f>SUM(E5:E16)</f>
        <v/>
      </c>
      <c r="F17" s="16">
        <f>SUM(F5:F16)</f>
        <v/>
      </c>
      <c r="G17" s="16">
        <f>SUM(G5:G16)</f>
        <v/>
      </c>
      <c r="H17" s="16">
        <f>SUM(H5:H16)</f>
        <v/>
      </c>
      <c r="I17" s="15" t="n"/>
      <c r="J17" s="15" t="n"/>
    </row>
  </sheetData>
  <mergeCells count="2">
    <mergeCell ref="A1:J1"/>
    <mergeCell ref="A2:J2"/>
  </mergeCells>
  <conditionalFormatting sqref="H5:H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9" customWidth="1" min="6" max="6"/>
    <col width="19" customWidth="1" min="7" max="7"/>
    <col width="16" customWidth="1" min="8" max="8"/>
    <col width="12" customWidth="1" min="9" max="9"/>
    <col width="16" customWidth="1" min="10" max="10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6" t="inlineStr">
        <is>
          <t>Plano de Contas</t>
        </is>
      </c>
      <c r="B4" s="6" t="inlineStr">
        <is>
          <t>Jurídico — Plan.</t>
        </is>
      </c>
      <c r="C4" s="6" t="inlineStr">
        <is>
          <t>Jurídico — Real.</t>
        </is>
      </c>
      <c r="D4" s="6" t="inlineStr">
        <is>
          <t>TI — Plan.</t>
        </is>
      </c>
      <c r="E4" s="6" t="inlineStr">
        <is>
          <t>TI — Real.</t>
        </is>
      </c>
      <c r="F4" s="6" t="inlineStr">
        <is>
          <t>Total Planejado acum.</t>
        </is>
      </c>
      <c r="G4" s="6" t="inlineStr">
        <is>
          <t>Total Realizado acum.</t>
        </is>
      </c>
      <c r="H4" s="6" t="inlineStr">
        <is>
          <t>Desvio (R$)</t>
        </is>
      </c>
      <c r="I4" s="6" t="inlineStr">
        <is>
          <t>Desvio (%)</t>
        </is>
      </c>
      <c r="J4" s="6" t="inlineStr">
        <is>
          <t>Orçado do ano</t>
        </is>
      </c>
    </row>
    <row r="5" ht="20" customHeight="1">
      <c r="A5" s="51" t="inlineStr">
        <is>
          <t>Pessoal - CLT</t>
        </is>
      </c>
      <c r="B5" s="30">
        <f>SUMIFS(Comparativo!$I$6:$I$28,Comparativo!$E$6:$E$28,$A5,Comparativo!$B$6:$B$28,"Jurídico")</f>
        <v/>
      </c>
      <c r="C5" s="30">
        <f>SUMIFS(Comparativo!$J$6:$J$28,Comparativo!$E$6:$E$28,$A5,Comparativo!$B$6:$B$28,"Jurídico")</f>
        <v/>
      </c>
      <c r="D5" s="30">
        <f>SUMIFS(Comparativo!$I$6:$I$28,Comparativo!$E$6:$E$28,$A5,Comparativo!$B$6:$B$28,"TI")</f>
        <v/>
      </c>
      <c r="E5" s="30">
        <f>SUMIFS(Comparativo!$J$6:$J$28,Comparativo!$E$6:$E$28,$A5,Comparativo!$B$6:$B$28,"TI")</f>
        <v/>
      </c>
      <c r="F5" s="30">
        <f>B5+D5</f>
        <v/>
      </c>
      <c r="G5" s="30">
        <f>C5+E5</f>
        <v/>
      </c>
      <c r="H5" s="30">
        <f>G5-F5</f>
        <v/>
      </c>
      <c r="I5" s="52">
        <f>IFERROR(H5/F5,"")</f>
        <v/>
      </c>
      <c r="J5" s="30">
        <f>SUMIFS(Planejado!$T$5:$T$27,Planejado!$G$5:$G$27,$A5)</f>
        <v/>
      </c>
    </row>
    <row r="6" ht="20" customHeight="1">
      <c r="A6" s="53" t="inlineStr">
        <is>
          <t>Encargos e Benefícios - CLT</t>
        </is>
      </c>
      <c r="B6" s="36">
        <f>SUMIFS(Comparativo!$I$6:$I$28,Comparativo!$E$6:$E$28,$A6,Comparativo!$B$6:$B$28,"Jurídico")</f>
        <v/>
      </c>
      <c r="C6" s="36">
        <f>SUMIFS(Comparativo!$J$6:$J$28,Comparativo!$E$6:$E$28,$A6,Comparativo!$B$6:$B$28,"Jurídico")</f>
        <v/>
      </c>
      <c r="D6" s="36">
        <f>SUMIFS(Comparativo!$I$6:$I$28,Comparativo!$E$6:$E$28,$A6,Comparativo!$B$6:$B$28,"TI")</f>
        <v/>
      </c>
      <c r="E6" s="36">
        <f>SUMIFS(Comparativo!$J$6:$J$28,Comparativo!$E$6:$E$28,$A6,Comparativo!$B$6:$B$28,"TI")</f>
        <v/>
      </c>
      <c r="F6" s="36">
        <f>B6+D6</f>
        <v/>
      </c>
      <c r="G6" s="36">
        <f>C6+E6</f>
        <v/>
      </c>
      <c r="H6" s="36">
        <f>G6-F6</f>
        <v/>
      </c>
      <c r="I6" s="54">
        <f>IFERROR(H6/F6,"")</f>
        <v/>
      </c>
      <c r="J6" s="36">
        <f>SUMIFS(Planejado!$T$5:$T$27,Planejado!$G$5:$G$27,$A6)</f>
        <v/>
      </c>
    </row>
    <row r="7" ht="20" customHeight="1">
      <c r="A7" s="51" t="inlineStr">
        <is>
          <t>Pessoal - PJ</t>
        </is>
      </c>
      <c r="B7" s="30">
        <f>SUMIFS(Comparativo!$I$6:$I$28,Comparativo!$E$6:$E$28,$A7,Comparativo!$B$6:$B$28,"Jurídico")</f>
        <v/>
      </c>
      <c r="C7" s="30">
        <f>SUMIFS(Comparativo!$J$6:$J$28,Comparativo!$E$6:$E$28,$A7,Comparativo!$B$6:$B$28,"Jurídico")</f>
        <v/>
      </c>
      <c r="D7" s="30">
        <f>SUMIFS(Comparativo!$I$6:$I$28,Comparativo!$E$6:$E$28,$A7,Comparativo!$B$6:$B$28,"TI")</f>
        <v/>
      </c>
      <c r="E7" s="30">
        <f>SUMIFS(Comparativo!$J$6:$J$28,Comparativo!$E$6:$E$28,$A7,Comparativo!$B$6:$B$28,"TI")</f>
        <v/>
      </c>
      <c r="F7" s="30">
        <f>B7+D7</f>
        <v/>
      </c>
      <c r="G7" s="30">
        <f>C7+E7</f>
        <v/>
      </c>
      <c r="H7" s="30">
        <f>G7-F7</f>
        <v/>
      </c>
      <c r="I7" s="52">
        <f>IFERROR(H7/F7,"")</f>
        <v/>
      </c>
      <c r="J7" s="30">
        <f>SUMIFS(Planejado!$T$5:$T$27,Planejado!$G$5:$G$27,$A7)</f>
        <v/>
      </c>
    </row>
    <row r="8" ht="20" customHeight="1">
      <c r="A8" s="53" t="inlineStr">
        <is>
          <t>Licenças de Softwares</t>
        </is>
      </c>
      <c r="B8" s="36">
        <f>SUMIFS(Comparativo!$I$6:$I$28,Comparativo!$E$6:$E$28,$A8,Comparativo!$B$6:$B$28,"Jurídico")</f>
        <v/>
      </c>
      <c r="C8" s="36">
        <f>SUMIFS(Comparativo!$J$6:$J$28,Comparativo!$E$6:$E$28,$A8,Comparativo!$B$6:$B$28,"Jurídico")</f>
        <v/>
      </c>
      <c r="D8" s="36">
        <f>SUMIFS(Comparativo!$I$6:$I$28,Comparativo!$E$6:$E$28,$A8,Comparativo!$B$6:$B$28,"TI")</f>
        <v/>
      </c>
      <c r="E8" s="36">
        <f>SUMIFS(Comparativo!$J$6:$J$28,Comparativo!$E$6:$E$28,$A8,Comparativo!$B$6:$B$28,"TI")</f>
        <v/>
      </c>
      <c r="F8" s="36">
        <f>B8+D8</f>
        <v/>
      </c>
      <c r="G8" s="36">
        <f>C8+E8</f>
        <v/>
      </c>
      <c r="H8" s="36">
        <f>G8-F8</f>
        <v/>
      </c>
      <c r="I8" s="54">
        <f>IFERROR(H8/F8,"")</f>
        <v/>
      </c>
      <c r="J8" s="36">
        <f>SUMIFS(Planejado!$T$5:$T$27,Planejado!$G$5:$G$27,$A8)</f>
        <v/>
      </c>
    </row>
    <row r="9" ht="20" customHeight="1">
      <c r="A9" s="51" t="inlineStr">
        <is>
          <t>Custeio de Treinamento</t>
        </is>
      </c>
      <c r="B9" s="30">
        <f>SUMIFS(Comparativo!$I$6:$I$28,Comparativo!$E$6:$E$28,$A9,Comparativo!$B$6:$B$28,"Jurídico")</f>
        <v/>
      </c>
      <c r="C9" s="30">
        <f>SUMIFS(Comparativo!$J$6:$J$28,Comparativo!$E$6:$E$28,$A9,Comparativo!$B$6:$B$28,"Jurídico")</f>
        <v/>
      </c>
      <c r="D9" s="30">
        <f>SUMIFS(Comparativo!$I$6:$I$28,Comparativo!$E$6:$E$28,$A9,Comparativo!$B$6:$B$28,"TI")</f>
        <v/>
      </c>
      <c r="E9" s="30">
        <f>SUMIFS(Comparativo!$J$6:$J$28,Comparativo!$E$6:$E$28,$A9,Comparativo!$B$6:$B$28,"TI")</f>
        <v/>
      </c>
      <c r="F9" s="30">
        <f>B9+D9</f>
        <v/>
      </c>
      <c r="G9" s="30">
        <f>C9+E9</f>
        <v/>
      </c>
      <c r="H9" s="30">
        <f>G9-F9</f>
        <v/>
      </c>
      <c r="I9" s="52">
        <f>IFERROR(H9/F9,"")</f>
        <v/>
      </c>
      <c r="J9" s="30">
        <f>SUMIFS(Planejado!$T$5:$T$27,Planejado!$G$5:$G$27,$A9)</f>
        <v/>
      </c>
    </row>
    <row r="10" ht="20" customHeight="1">
      <c r="A10" s="53" t="inlineStr">
        <is>
          <t>Prêmios</t>
        </is>
      </c>
      <c r="B10" s="36">
        <f>SUMIFS(Comparativo!$I$6:$I$28,Comparativo!$E$6:$E$28,$A10,Comparativo!$B$6:$B$28,"Jurídico")</f>
        <v/>
      </c>
      <c r="C10" s="36">
        <f>SUMIFS(Comparativo!$J$6:$J$28,Comparativo!$E$6:$E$28,$A10,Comparativo!$B$6:$B$28,"Jurídico")</f>
        <v/>
      </c>
      <c r="D10" s="36">
        <f>SUMIFS(Comparativo!$I$6:$I$28,Comparativo!$E$6:$E$28,$A10,Comparativo!$B$6:$B$28,"TI")</f>
        <v/>
      </c>
      <c r="E10" s="36">
        <f>SUMIFS(Comparativo!$J$6:$J$28,Comparativo!$E$6:$E$28,$A10,Comparativo!$B$6:$B$28,"TI")</f>
        <v/>
      </c>
      <c r="F10" s="36">
        <f>B10+D10</f>
        <v/>
      </c>
      <c r="G10" s="36">
        <f>C10+E10</f>
        <v/>
      </c>
      <c r="H10" s="36">
        <f>G10-F10</f>
        <v/>
      </c>
      <c r="I10" s="54">
        <f>IFERROR(H10/F10,"")</f>
        <v/>
      </c>
      <c r="J10" s="36">
        <f>SUMIFS(Planejado!$T$5:$T$27,Planejado!$G$5:$G$27,$A10)</f>
        <v/>
      </c>
    </row>
    <row r="11" ht="20" customHeight="1">
      <c r="A11" s="51" t="inlineStr">
        <is>
          <t>Equipamentos Eletrônicos Diversos</t>
        </is>
      </c>
      <c r="B11" s="30">
        <f>SUMIFS(Comparativo!$I$6:$I$28,Comparativo!$E$6:$E$28,$A11,Comparativo!$B$6:$B$28,"Jurídico")</f>
        <v/>
      </c>
      <c r="C11" s="30">
        <f>SUMIFS(Comparativo!$J$6:$J$28,Comparativo!$E$6:$E$28,$A11,Comparativo!$B$6:$B$28,"Jurídico")</f>
        <v/>
      </c>
      <c r="D11" s="30">
        <f>SUMIFS(Comparativo!$I$6:$I$28,Comparativo!$E$6:$E$28,$A11,Comparativo!$B$6:$B$28,"TI")</f>
        <v/>
      </c>
      <c r="E11" s="30">
        <f>SUMIFS(Comparativo!$J$6:$J$28,Comparativo!$E$6:$E$28,$A11,Comparativo!$B$6:$B$28,"TI")</f>
        <v/>
      </c>
      <c r="F11" s="30">
        <f>B11+D11</f>
        <v/>
      </c>
      <c r="G11" s="30">
        <f>C11+E11</f>
        <v/>
      </c>
      <c r="H11" s="30">
        <f>G11-F11</f>
        <v/>
      </c>
      <c r="I11" s="52">
        <f>IFERROR(H11/F11,"")</f>
        <v/>
      </c>
      <c r="J11" s="30">
        <f>SUMIFS(Planejado!$T$5:$T$27,Planejado!$G$5:$G$27,$A11)</f>
        <v/>
      </c>
    </row>
    <row r="12" ht="20" customHeight="1">
      <c r="A12" s="53" t="inlineStr">
        <is>
          <t>Móveis e Utensílios</t>
        </is>
      </c>
      <c r="B12" s="36">
        <f>SUMIFS(Comparativo!$I$6:$I$28,Comparativo!$E$6:$E$28,$A12,Comparativo!$B$6:$B$28,"Jurídico")</f>
        <v/>
      </c>
      <c r="C12" s="36">
        <f>SUMIFS(Comparativo!$J$6:$J$28,Comparativo!$E$6:$E$28,$A12,Comparativo!$B$6:$B$28,"Jurídico")</f>
        <v/>
      </c>
      <c r="D12" s="36">
        <f>SUMIFS(Comparativo!$I$6:$I$28,Comparativo!$E$6:$E$28,$A12,Comparativo!$B$6:$B$28,"TI")</f>
        <v/>
      </c>
      <c r="E12" s="36">
        <f>SUMIFS(Comparativo!$J$6:$J$28,Comparativo!$E$6:$E$28,$A12,Comparativo!$B$6:$B$28,"TI")</f>
        <v/>
      </c>
      <c r="F12" s="36">
        <f>B12+D12</f>
        <v/>
      </c>
      <c r="G12" s="36">
        <f>C12+E12</f>
        <v/>
      </c>
      <c r="H12" s="36">
        <f>G12-F12</f>
        <v/>
      </c>
      <c r="I12" s="54">
        <f>IFERROR(H12/F12,"")</f>
        <v/>
      </c>
      <c r="J12" s="36">
        <f>SUMIFS(Planejado!$T$5:$T$27,Planejado!$G$5:$G$27,$A12)</f>
        <v/>
      </c>
    </row>
    <row r="13">
      <c r="A13" s="15" t="inlineStr">
        <is>
          <t>TOTAL</t>
        </is>
      </c>
      <c r="B13" s="16">
        <f>SUM(B5:B12)</f>
        <v/>
      </c>
      <c r="C13" s="16">
        <f>SUM(C5:C12)</f>
        <v/>
      </c>
      <c r="D13" s="16">
        <f>SUM(D5:D12)</f>
        <v/>
      </c>
      <c r="E13" s="16">
        <f>SUM(E5:E12)</f>
        <v/>
      </c>
      <c r="F13" s="16">
        <f>SUM(F5:F12)</f>
        <v/>
      </c>
      <c r="G13" s="16">
        <f>SUM(G5:G12)</f>
        <v/>
      </c>
      <c r="H13" s="16">
        <f>SUM(H5:H12)</f>
        <v/>
      </c>
      <c r="I13" s="17">
        <f>IFERROR(H13/F13,"")</f>
        <v/>
      </c>
      <c r="J13" s="16">
        <f>SUM(J5:J12)</f>
        <v/>
      </c>
    </row>
  </sheetData>
  <mergeCells count="2">
    <mergeCell ref="A1:J1"/>
    <mergeCell ref="A2:J2"/>
  </mergeCells>
  <conditionalFormatting sqref="H5:H12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6" t="inlineStr">
        <is>
          <t>#</t>
        </is>
      </c>
      <c r="B4" s="6" t="inlineStr">
        <is>
          <t>Tema</t>
        </is>
      </c>
      <c r="C4" s="6" t="inlineStr">
        <is>
          <t>O que está em aberto</t>
        </is>
      </c>
      <c r="D4" s="6" t="inlineStr">
        <is>
          <t>Impacto no comparativo</t>
        </is>
      </c>
      <c r="E4" s="6" t="inlineStr">
        <is>
          <t>Responsável</t>
        </is>
      </c>
      <c r="F4" s="6" t="inlineStr">
        <is>
          <t>Status</t>
        </is>
      </c>
    </row>
    <row r="5" ht="58" customHeight="1">
      <c r="A5" s="55" t="inlineStr">
        <is>
          <t>A</t>
        </is>
      </c>
      <c r="B5" s="56" t="inlineStr">
        <is>
          <t>Encargos da Geovanna — CAMPO A PREENCHER</t>
        </is>
      </c>
      <c r="C5" s="56" t="inlineStr">
        <is>
          <t>A linha JUR-E02B foi criada para receber os encargos e benefícios sobre o salário bruto (INSS patronal, FGTS, provisões de 13º e férias, VT/VR, plano de saúde). Hoje está em branco em mai, jun e jul.</t>
        </is>
      </c>
      <c r="D5" s="56" t="inlineStr">
        <is>
          <t>Enquanto não for preenchida, a folha do Jurídico aparece R$ 1.938,61/mês abaixo do orçado — economia que não existe, é só encargo não lançado.</t>
        </is>
      </c>
      <c r="E5" s="56" t="inlineStr">
        <is>
          <t>Cristiane + RH</t>
        </is>
      </c>
      <c r="F5" s="57" t="inlineStr">
        <is>
          <t>PREENCHER</t>
        </is>
      </c>
    </row>
    <row r="6" ht="58" customHeight="1">
      <c r="A6" s="58" t="inlineStr">
        <is>
          <t>B</t>
        </is>
      </c>
      <c r="B6" s="59" t="inlineStr">
        <is>
          <t>Encargos do Vinicius — CAMPO A PREENCHER</t>
        </is>
      </c>
      <c r="C6" s="59" t="inlineStr">
        <is>
          <t>A linha TI-E01B recebe os encargos e benefícios sobre o salário bruto, mesmo tratamento dado à Geovanna. Hoje está em branco. Brutos confirmados pela gestora: R$ 2.570,52 até jul/26 e R$ 3.070,52 a partir de 05/08/26.</t>
        </is>
      </c>
      <c r="D6" s="59" t="inlineStr">
        <is>
          <t>A folga do orçado NÃO é economia estrutural: o custo total de R$ 5.416,53 foi dimensionado prevendo um aumento maior, ainda não concedido. Com o bruto de agosto, a folga praticamente se esgota — a encargos de 67% o custo vai a R$ 5.127,77 (sobram R$ 288,76/mês) e a 80% passa a estourar o orçado. Preencher os encargos reais é o que define se ainda há margem.</t>
        </is>
      </c>
      <c r="E6" s="59" t="inlineStr">
        <is>
          <t>Cristiane + RH</t>
        </is>
      </c>
      <c r="F6" s="57" t="inlineStr">
        <is>
          <t>PREENCHER</t>
        </is>
      </c>
    </row>
    <row r="7" ht="58" customHeight="1">
      <c r="A7" s="55" t="inlineStr">
        <is>
          <t>F</t>
        </is>
      </c>
      <c r="B7" s="56" t="inlineStr">
        <is>
          <t>Jonathan R$ 3.700/mês abaixo do contratado</t>
        </is>
      </c>
      <c r="C7" s="56" t="inlineStr">
        <is>
          <t>Orçado R$ 10.000/mês, realizado R$ 6.300/mês em mai, jun e jul.</t>
        </is>
      </c>
      <c r="D7" s="56" t="inlineStr">
        <is>
          <t>Maior desvio em reais de todo o orçamento: R$ 11.100 em três meses. Se o valor menor for o novo padrão, o planejado de ago a dez deve ser revisado para baixo — sobrariam R$ 18.500 no orçamento do TI.</t>
        </is>
      </c>
      <c r="E7" s="56" t="inlineStr">
        <is>
          <t>Cristiane</t>
        </is>
      </c>
      <c r="F7" s="60" t="inlineStr">
        <is>
          <t>EM ABERTO</t>
        </is>
      </c>
    </row>
    <row r="8" ht="58" customHeight="1">
      <c r="A8" s="58" t="inlineStr">
        <is>
          <t>G</t>
        </is>
      </c>
      <c r="B8" s="59" t="inlineStr">
        <is>
          <t>Elias Benedito zerado nos três meses</t>
        </is>
      </c>
      <c r="C8" s="59" t="inlineStr">
        <is>
          <t>Orçado R$ 1.065/mês como suporte técnico terceirizado, realizado R$ 0 em mai, jun e jul.</t>
        </is>
      </c>
      <c r="D8" s="59" t="inlineStr">
        <is>
          <t>Confirmar se o contrato segue ativo (acionamento sob demanda) ou se foi encerrado. Se encerrado, são R$ 8.520 a liberar no orçamento do ano.</t>
        </is>
      </c>
      <c r="E8" s="59" t="inlineStr">
        <is>
          <t>Cristiane</t>
        </is>
      </c>
      <c r="F8" s="60" t="inlineStr">
        <is>
          <t>EM ABERTO</t>
        </is>
      </c>
    </row>
    <row r="9" ht="58" customHeight="1">
      <c r="A9" s="55" t="inlineStr">
        <is>
          <t>C</t>
        </is>
      </c>
      <c r="B9" s="56" t="inlineStr">
        <is>
          <t>Reajuste da Thamar — revisão orçamentária</t>
        </is>
      </c>
      <c r="C9" s="56" t="inlineStr">
        <is>
          <t>Reajuste permanente de R$ 5.000 para R$ 5.500/mês, já em vigor desde mai/26. O planejado foi mantido em R$ 5.000 em mai–set (para o desvio ficar visível) e revisado para R$ 5.500 de out a dez.</t>
        </is>
      </c>
      <c r="D9" s="56" t="inlineStr">
        <is>
          <t>Desvio já incorrido de R$ 500/mês. Impacto de +R$ 1.500 no orçamento do restante do ano; o orçamento total sobe para R$ 395.852,68.</t>
        </is>
      </c>
      <c r="E9" s="56" t="inlineStr">
        <is>
          <t>Cristiane</t>
        </is>
      </c>
      <c r="F9" s="61" t="inlineStr">
        <is>
          <t>APLICADO</t>
        </is>
      </c>
    </row>
    <row r="10" ht="58" customHeight="1">
      <c r="A10" s="58" t="inlineStr">
        <is>
          <t>D</t>
        </is>
      </c>
      <c r="B10" s="59" t="inlineStr">
        <is>
          <t>Jusbrasil 30% acima do orçado</t>
        </is>
      </c>
      <c r="C10" s="59" t="inlineStr">
        <is>
          <t>Orçado R$ 104,90/mês, realizado R$ 136,00/mês nos três meses.</t>
        </is>
      </c>
      <c r="D10" s="59" t="inlineStr">
        <is>
          <t>Menor desvio em reais (R$ 31,10/mês), mas o maior em percentual. Vale conferir se houve reajuste contratual ou mudança de plano.</t>
        </is>
      </c>
      <c r="E10" s="59" t="inlineStr">
        <is>
          <t>Cristiane</t>
        </is>
      </c>
      <c r="F10" s="60" t="inlineStr">
        <is>
          <t>EM ABERTO</t>
        </is>
      </c>
    </row>
    <row r="11" ht="58" customHeight="1">
      <c r="A11" s="55" t="inlineStr">
        <is>
          <t>E</t>
        </is>
      </c>
      <c r="B11" s="56" t="inlineStr">
        <is>
          <t>Bonificação de ago/26 do Jurídico</t>
        </is>
      </c>
      <c r="C11" s="56" t="inlineStr">
        <is>
          <t>Estão orçados R$ 10.293,60 em agosto e R$ 12.867,00 em dezembro. O realizado de agosto ainda não foi informado.</t>
        </is>
      </c>
      <c r="D11" s="56" t="inlineStr">
        <is>
          <t>É a maior despesa isolada do Jurídico no segundo semestre. Sem confirmação, o acumulado de agosto fica distorcido.</t>
        </is>
      </c>
      <c r="E11" s="56" t="inlineStr">
        <is>
          <t>Cristiane</t>
        </is>
      </c>
      <c r="F11" s="60" t="inlineStr">
        <is>
          <t>EM ABERTO</t>
        </is>
      </c>
    </row>
    <row r="12" ht="58" customHeight="1">
      <c r="A12" s="58" t="inlineStr">
        <is>
          <t>1</t>
        </is>
      </c>
      <c r="B12" s="59" t="inlineStr">
        <is>
          <t>Base de meses — reconciliada com a ficha original</t>
        </is>
      </c>
      <c r="C12" s="59" t="inlineStr">
        <is>
          <t>A ficha trazia a coluna TOTAL do TI digitada à mão em bases diferentes por pessoa (Vinicius e Elias em 12 meses, Jonathan em 9) enquanto o grid mensal tinha só 8 colunas. Com o período estendido para jan–dez, os três totais batem exatamente: R$ 64.998,30 + R$ 12.780,00 + R$ 90.000,00 = R$ 167.778,30, o valor original da ficha. Não era erro de digitação — era o grid que estava incompleto.</t>
        </is>
      </c>
      <c r="D12" s="59" t="inlineStr">
        <is>
          <t>Equipe de TI volta ao valor original de R$ 167.778,30. Jonathan lançado com entrada em abr/26 (9 meses), que é o que explica os R$ 90.000 da ficha.</t>
        </is>
      </c>
      <c r="E12" s="59" t="inlineStr">
        <is>
          <t>Cristiane</t>
        </is>
      </c>
      <c r="F12" s="61" t="inlineStr">
        <is>
          <t>RESOLVIDO</t>
        </is>
      </c>
    </row>
    <row r="13" ht="58" customHeight="1">
      <c r="A13" s="55" t="inlineStr">
        <is>
          <t>H</t>
        </is>
      </c>
      <c r="B13" s="56" t="inlineStr">
        <is>
          <t>Planejado de jan a abr — CONFERIR</t>
        </is>
      </c>
      <c r="C13" s="56" t="inlineStr">
        <is>
          <t>O 1º quadrimestre foi preenchido replicando os valores mensais já conhecidos, porque a ficha original só trazia o grid de mai a dez. Exceções tratadas: Jonathan começa em abr, Thamar a R$ 5.000 (pré-reajuste), Vinicius com bruto de R$ 2.570,52 e Adapta a R$ 1.300 (valor até jun).</t>
        </is>
      </c>
      <c r="D13" s="56" t="inlineStr">
        <is>
          <t>Se algum contrato tinha valor diferente no 1º quadrimestre, ou se houve bonificação nesse período, o planejado de jan a abr precisa ser corrigido antes de comparar com o realizado.</t>
        </is>
      </c>
      <c r="E13" s="56" t="inlineStr">
        <is>
          <t>Cristiane</t>
        </is>
      </c>
      <c r="F13" s="62" t="inlineStr">
        <is>
          <t>CONFERIR</t>
        </is>
      </c>
    </row>
    <row r="14" ht="58" customHeight="1">
      <c r="A14" s="58" t="inlineStr">
        <is>
          <t>I</t>
        </is>
      </c>
      <c r="B14" s="59" t="inlineStr">
        <is>
          <t>Realizado de jan a abr — A LANÇAR</t>
        </is>
      </c>
      <c r="C14" s="59" t="inlineStr">
        <is>
          <t>As colunas de jan a abr estão em branco na aba Realizado. Só mai, jun e jul foram informados.</t>
        </is>
      </c>
      <c r="D14" s="59" t="inlineStr">
        <is>
          <t>São 4 dos 7 meses já fechados do ano. Sem eles o acumulado e o Painel refletem menos da metade do período decorrido.</t>
        </is>
      </c>
      <c r="E14" s="59" t="inlineStr">
        <is>
          <t>Cristiane</t>
        </is>
      </c>
      <c r="F14" s="57" t="inlineStr">
        <is>
          <t>A LANÇAR</t>
        </is>
      </c>
    </row>
    <row r="15" ht="58" customHeight="1">
      <c r="A15" s="55" t="inlineStr">
        <is>
          <t>2</t>
        </is>
      </c>
      <c r="B15" s="56" t="inlineStr">
        <is>
          <t>Origem do valor realizado</t>
        </is>
      </c>
      <c r="C15" s="56" t="inlineStr">
        <is>
          <t>Ainda não definido se o realizado virá de lançamento manual, de relatório do financeiro/ERP por centro de custo, ou misto.</t>
        </is>
      </c>
      <c r="D15" s="56" t="inlineStr">
        <is>
          <t>Sem fonte definida o realizado pode divergir da contabilidade e o comparativo perde valor na apresentação à diretoria.</t>
        </is>
      </c>
      <c r="E15" s="56" t="inlineStr">
        <is>
          <t>Cristiane + Financeiro</t>
        </is>
      </c>
      <c r="F15" s="60" t="inlineStr">
        <is>
          <t>EM ABERTO</t>
        </is>
      </c>
    </row>
    <row r="16" ht="58" customHeight="1">
      <c r="A16" s="58" t="inlineStr">
        <is>
          <t>3</t>
        </is>
      </c>
      <c r="B16" s="59" t="inlineStr">
        <is>
          <t>Jusfy x Astrea</t>
        </is>
      </c>
      <c r="C16" s="59" t="inlineStr">
        <is>
          <t>O risco era pagar os dois em paralelo. O realizado de mai–jul mostra Astrea em R$ 0 (cancelado) e Jusfy em R$ 0 (ainda não iniciado) — no momento não há custo de nenhum dos dois.</t>
        </is>
      </c>
      <c r="D16" s="59" t="inlineStr">
        <is>
          <t>Economia de R$ 212,07/mês enquanto durar. Falta decidir se o Jusfy entra e quando, para ajustar o planejado de ago a dez.</t>
        </is>
      </c>
      <c r="E16" s="59" t="inlineStr">
        <is>
          <t>Cristiane</t>
        </is>
      </c>
      <c r="F16" s="61" t="inlineStr">
        <is>
          <t>RESOLVIDO</t>
        </is>
      </c>
    </row>
    <row r="17" ht="58" customHeight="1">
      <c r="A17" s="55" t="inlineStr">
        <is>
          <t>4</t>
        </is>
      </c>
      <c r="B17" s="56" t="inlineStr">
        <is>
          <t>Rateio dos softwares corporativos de TI</t>
        </is>
      </c>
      <c r="C17" s="56" t="inlineStr">
        <is>
          <t>Backup (R$ 6.600), Adapta/IA (R$ 12.200), Antivírus (R$ 1.920) e Office 365 (R$ 3.000) estão marcados na ficha como 'não sei se seria administrativo'. Total: R$ 23.720.</t>
        </is>
      </c>
      <c r="D17" s="56" t="inlineStr">
        <is>
          <t>Se são da empresa toda e ficam no centro de custo de TI, o TI carrega despesa que não é dele e aparece caro no comparativo.</t>
        </is>
      </c>
      <c r="E17" s="56" t="inlineStr">
        <is>
          <t>Cristiane + Controladoria</t>
        </is>
      </c>
      <c r="F17" s="60" t="inlineStr">
        <is>
          <t>EM ABERTO</t>
        </is>
      </c>
    </row>
    <row r="18" ht="58" customHeight="1">
      <c r="A18" s="58" t="inlineStr">
        <is>
          <t>5</t>
        </is>
      </c>
      <c r="B18" s="59" t="inlineStr">
        <is>
          <t>Sala de Reunião — recorrente ou pontual?</t>
        </is>
      </c>
      <c r="C18" s="59" t="inlineStr">
        <is>
          <t>R$ 2.800/mês × 8 = R$ 22.400 diluídos linearmente, classificados em Móveis e Utensílios.</t>
        </is>
      </c>
      <c r="D18" s="59" t="inlineStr">
        <is>
          <t>Se for compra pontual (CAPEX), o desvio mensal vai acusar alarme falso todo mês até a compra acontecer, e um pico no mês da compra.</t>
        </is>
      </c>
      <c r="E18" s="59" t="inlineStr">
        <is>
          <t>Cristiane</t>
        </is>
      </c>
      <c r="F18" s="60" t="inlineStr">
        <is>
          <t>EM ABERTO</t>
        </is>
      </c>
    </row>
    <row r="19" ht="58" customHeight="1">
      <c r="A19" s="55" t="inlineStr">
        <is>
          <t>6</t>
        </is>
      </c>
      <c r="B19" s="56" t="inlineStr">
        <is>
          <t>Office 365 — nº de licenças</t>
        </is>
      </c>
      <c r="C19" s="56" t="inlineStr">
        <is>
          <t>A observação diz '10 licenças de software – 60 usuários'. Os dois números não fecham entre si.</t>
        </is>
      </c>
      <c r="D19" s="56" t="inlineStr">
        <is>
          <t>Afeta o valor orçado da linha e a projeção de crescimento.</t>
        </is>
      </c>
      <c r="E19" s="56" t="inlineStr">
        <is>
          <t>Cristiane</t>
        </is>
      </c>
      <c r="F19" s="60" t="inlineStr">
        <is>
          <t>EM ABERTO</t>
        </is>
      </c>
    </row>
    <row r="20" ht="58" customHeight="1">
      <c r="A20" s="58" t="inlineStr">
        <is>
          <t>7</t>
        </is>
      </c>
      <c r="B20" s="59" t="inlineStr">
        <is>
          <t>Critério de competência x caixa</t>
        </is>
      </c>
      <c r="C20" s="59" t="inlineStr">
        <is>
          <t>Definir se o realizado será lançado pela data de pagamento (caixa) ou pelo mês de referência da despesa (competência).</t>
        </is>
      </c>
      <c r="D20" s="59" t="inlineStr">
        <is>
          <t>Misturar os dois critérios gera desvio artificial em meses de virada, principalmente em folha e prêmios.</t>
        </is>
      </c>
      <c r="E20" s="59" t="inlineStr">
        <is>
          <t>Cristiane + Financeiro</t>
        </is>
      </c>
      <c r="F20" s="60" t="inlineStr">
        <is>
          <t>EM ABERTO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19" t="inlineStr">
        <is>
          <t>ROTINA MENSAL</t>
        </is>
      </c>
    </row>
    <row r="5" ht="34" customHeight="1">
      <c r="A5" s="63" t="inlineStr">
        <is>
          <t>1</t>
        </is>
      </c>
      <c r="B5" s="64" t="inlineStr">
        <is>
          <t>Abra a aba REALIZADO e preencha apenas as células amarelas do mês que fechou. Se o item não teve gasto no mês, digite 0 — deixar em branco significa 'ainda não lancei'.</t>
        </is>
      </c>
    </row>
    <row r="6" ht="34" customHeight="1">
      <c r="A6" s="63" t="inlineStr">
        <is>
          <t>2</t>
        </is>
      </c>
      <c r="B6" s="64" t="inlineStr">
        <is>
          <t>Preencha a coluna 'Fonte do dado' (ex.: relatório do financeiro, nota fiscal, extrato do cartão) para o número ser auditável depois.</t>
        </is>
      </c>
    </row>
    <row r="7" ht="34" customHeight="1">
      <c r="A7" s="63" t="inlineStr">
        <is>
          <t>3</t>
        </is>
      </c>
      <c r="B7" s="64" t="inlineStr">
        <is>
          <t>Vá na aba COMPARATIVO e selecione o mês em B3. Todas as demais abas acompanham essa escolha.</t>
        </is>
      </c>
    </row>
    <row r="8" ht="34" customHeight="1">
      <c r="A8" s="63" t="inlineStr">
        <is>
          <t>4</t>
        </is>
      </c>
      <c r="B8" s="64" t="inlineStr">
        <is>
          <t>Confira o PAINEL: ele mostra o desvio por departamento e os 5 maiores estouros do acumulado. É a tela para levar à diretoria.</t>
        </is>
      </c>
    </row>
    <row r="9" ht="34" customHeight="1">
      <c r="A9" s="63" t="inlineStr">
        <is>
          <t>5</t>
        </is>
      </c>
      <c r="B9" s="64" t="inlineStr">
        <is>
          <t>Atualize a aba PENDÊNCIAS conforme as decisões forem sendo tomadas.</t>
        </is>
      </c>
    </row>
    <row r="10" ht="8" customHeight="1"/>
    <row r="11" ht="22" customHeight="1">
      <c r="A11" s="19" t="inlineStr">
        <is>
          <t>COMO LER OS NÚMEROS</t>
        </is>
      </c>
    </row>
    <row r="12" ht="34" customHeight="1">
      <c r="A12" s="63" t="inlineStr">
        <is>
          <t>Desvio positivo (vermelho)</t>
        </is>
      </c>
      <c r="B12" s="64" t="inlineStr">
        <is>
          <t>Gastou ACIMA do orçado.</t>
        </is>
      </c>
    </row>
    <row r="13" ht="34" customHeight="1">
      <c r="A13" s="63" t="inlineStr">
        <is>
          <t>Desvio negativo (verde)</t>
        </is>
      </c>
      <c r="B13" s="64" t="inlineStr">
        <is>
          <t>Gastou ABAIXO do orçado — economia ou despesa ainda não realizada.</t>
        </is>
      </c>
    </row>
    <row r="14" ht="34" customHeight="1">
      <c r="A14" s="63" t="inlineStr">
        <is>
          <t>Planejado acum.</t>
        </is>
      </c>
      <c r="B14" s="64" t="inlineStr">
        <is>
          <t>Soma de maio até o mês selecionado.</t>
        </is>
      </c>
    </row>
    <row r="15" ht="34" customHeight="1">
      <c r="A15" s="63" t="inlineStr">
        <is>
          <t>% Executado</t>
        </is>
      </c>
      <c r="B15" s="64" t="inlineStr">
        <is>
          <t>Realizado acumulado ÷ Planejado acumulado. Perto de 100% = no ritmo.</t>
        </is>
      </c>
    </row>
    <row r="16" ht="34" customHeight="1">
      <c r="A16" s="63" t="inlineStr">
        <is>
          <t>Sem lançamento</t>
        </is>
      </c>
      <c r="B16" s="64" t="inlineStr">
        <is>
          <t>Nada foi lançado no realizado ainda — não confunda com economia.</t>
        </is>
      </c>
    </row>
    <row r="17" ht="8" customHeight="1"/>
    <row r="18" ht="22" customHeight="1">
      <c r="A18" s="19" t="inlineStr">
        <is>
          <t>REGRAS DA PLANILHA</t>
        </is>
      </c>
    </row>
    <row r="19" ht="34" customHeight="1">
      <c r="A19" s="63" t="inlineStr">
        <is>
          <t>Não altere</t>
        </is>
      </c>
      <c r="B19" s="64" t="inlineStr">
        <is>
          <t>As colunas de identificação da aba Realizado (A a G) são fórmulas que espelham a aba Planejado. Alterar quebra o comparativo.</t>
        </is>
      </c>
    </row>
    <row r="20" ht="34" customHeight="1">
      <c r="A20" s="63" t="inlineStr">
        <is>
          <t>Nova linha de orçamento</t>
        </is>
      </c>
      <c r="B20" s="64" t="inlineStr">
        <is>
          <t>Insira na aba Planejado e replique a mesma linha na aba Realizado e na aba Comparativo, mantendo o mesmo ID.</t>
        </is>
      </c>
    </row>
    <row r="21" ht="34" customHeight="1">
      <c r="A21" s="63" t="inlineStr">
        <is>
          <t>Revisão de orçamento</t>
        </is>
      </c>
      <c r="B21" s="64" t="inlineStr">
        <is>
          <t>Se a diretoria aprovar um valor novo, altere na aba Planejado e registre o motivo na aba Pendências.</t>
        </is>
      </c>
    </row>
  </sheetData>
  <mergeCells count="18">
    <mergeCell ref="B13:C13"/>
    <mergeCell ref="B6:C6"/>
    <mergeCell ref="B21:C21"/>
    <mergeCell ref="B16:C16"/>
    <mergeCell ref="A11:C11"/>
    <mergeCell ref="B15:C15"/>
    <mergeCell ref="B7:C7"/>
    <mergeCell ref="A1:C1"/>
    <mergeCell ref="B5:C5"/>
    <mergeCell ref="B19:C19"/>
    <mergeCell ref="B20:C20"/>
    <mergeCell ref="A18:C18"/>
    <mergeCell ref="B14:C14"/>
    <mergeCell ref="B9:C9"/>
    <mergeCell ref="A4:C4"/>
    <mergeCell ref="B8:C8"/>
    <mergeCell ref="A2:C2"/>
    <mergeCell ref="B12:C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2026-08-06T10:00:27Z</dcterms:created>
  <dcterms:modified xsi:type="dcterms:W3CDTF">2026-08-06T10:00:27Z</dcterms:modified>
</cp:coreProperties>
</file>