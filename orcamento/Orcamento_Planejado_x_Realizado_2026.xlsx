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SUMIFS(Planejado!$T$5:$T$25,Planejado!$B$5:$B$25,"Jurídico")</f>
        <v/>
      </c>
      <c r="D8" s="12">
        <f>SUMIFS(Comparativo!$I$6:$I$26,Comparativo!$B$6:$B$26,"Jurídico")</f>
        <v/>
      </c>
      <c r="E8" s="12">
        <f>SUMIFS(Comparativo!$J$6:$J$26,Comparativo!$B$6:$B$26,"Jurídico")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COUNTIFS(Comparativo!$P$6:$P$26,"&gt;0",Comparativo!$B$6:$B$26,"Jurídico")&amp;" de "&amp;COUNTIFS(Comparativo!$A$6:$A$26,"?*",Comparativo!$B$6:$B$26,"Jurídico")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SUMIFS(Planejado!$T$5:$T$25,Planejado!$B$5:$B$25,"TI")</f>
        <v/>
      </c>
      <c r="D11" s="12">
        <f>SUMIFS(Comparativo!$I$6:$I$26,Comparativo!$B$6:$B$26,"TI")</f>
        <v/>
      </c>
      <c r="E11" s="12">
        <f>SUMIFS(Comparativo!$J$6:$J$26,Comparativo!$B$6:$B$26,"TI")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COUNTIFS(Comparativo!$P$6:$P$26,"&gt;0",Comparativo!$B$6:$B$26,"TI")&amp;" de "&amp;COUNTIFS(Comparativo!$A$6:$A$26,"?*",Comparativo!$B$6:$B$26,"TI")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SUM(Planejado!$T$5:$T$25)</f>
        <v/>
      </c>
      <c r="D12" s="16">
        <f>SUM(Comparativo!$I$6:$I$26)</f>
        <v/>
      </c>
      <c r="E12" s="16">
        <f>SUM(Comparativo!$J$6:$J$26)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COUNTIFS(Comparativo!$P$6:$P$26,"&gt;0")&amp;" de "&amp;COUNTA(Comparativo!$A$6:$A$26)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IFERROR(INDEX(Comparativo!$D$6:$D$26,MATCH(LARGE(Comparativo!$O$6:$O$26,A17),Comparativo!$O$6:$O$26,0)),"")</f>
        <v/>
      </c>
      <c r="C17" s="21">
        <f>IFERROR(INDEX(Comparativo!$B$6:$B$26,MATCH(LARGE(Comparativo!$O$6:$O$26,A17),Comparativo!$O$6:$O$26,0)),"")</f>
        <v/>
      </c>
      <c r="D17" s="22">
        <f>IFERROR(INDEX(Comparativo!$I$6:$I$26,MATCH(LARGE(Comparativo!$O$6:$O$26,A17),Comparativo!$O$6:$O$26,0)),"")</f>
        <v/>
      </c>
      <c r="E17" s="22">
        <f>IFERROR(INDEX(Comparativo!$J$6:$J$26,MATCH(LARGE(Comparativo!$O$6:$O$26,A17),Comparativo!$O$6:$O$26,0)),"")</f>
        <v/>
      </c>
      <c r="F17" s="22">
        <f>IFERROR(INDEX(Comparativo!$K$6:$K$26,MATCH(LARGE(Comparativo!$O$6:$O$26,A17),Comparativo!$O$6:$O$26,0)),"")</f>
        <v/>
      </c>
      <c r="G17" s="23">
        <f>IFERROR(F17/D17,"")</f>
        <v/>
      </c>
    </row>
    <row r="18">
      <c r="A18" s="20" t="n">
        <v>2</v>
      </c>
      <c r="B18" s="21">
        <f>IFERROR(INDEX(Comparativo!$D$6:$D$26,MATCH(LARGE(Comparativo!$O$6:$O$26,A18),Comparativo!$O$6:$O$26,0)),"")</f>
        <v/>
      </c>
      <c r="C18" s="21">
        <f>IFERROR(INDEX(Comparativo!$B$6:$B$26,MATCH(LARGE(Comparativo!$O$6:$O$26,A18),Comparativo!$O$6:$O$26,0)),"")</f>
        <v/>
      </c>
      <c r="D18" s="22">
        <f>IFERROR(INDEX(Comparativo!$I$6:$I$26,MATCH(LARGE(Comparativo!$O$6:$O$26,A18),Comparativo!$O$6:$O$26,0)),"")</f>
        <v/>
      </c>
      <c r="E18" s="22">
        <f>IFERROR(INDEX(Comparativo!$J$6:$J$26,MATCH(LARGE(Comparativo!$O$6:$O$26,A18),Comparativo!$O$6:$O$26,0)),"")</f>
        <v/>
      </c>
      <c r="F18" s="22">
        <f>IFERROR(INDEX(Comparativo!$K$6:$K$26,MATCH(LARGE(Comparativo!$O$6:$O$26,A18),Comparativo!$O$6:$O$26,0)),"")</f>
        <v/>
      </c>
      <c r="G18" s="23">
        <f>IFERROR(F18/D18,"")</f>
        <v/>
      </c>
    </row>
    <row r="19">
      <c r="A19" s="20" t="n">
        <v>3</v>
      </c>
      <c r="B19" s="21">
        <f>IFERROR(INDEX(Comparativo!$D$6:$D$26,MATCH(LARGE(Comparativo!$O$6:$O$26,A19),Comparativo!$O$6:$O$26,0)),"")</f>
        <v/>
      </c>
      <c r="C19" s="21">
        <f>IFERROR(INDEX(Comparativo!$B$6:$B$26,MATCH(LARGE(Comparativo!$O$6:$O$26,A19),Comparativo!$O$6:$O$26,0)),"")</f>
        <v/>
      </c>
      <c r="D19" s="22">
        <f>IFERROR(INDEX(Comparativo!$I$6:$I$26,MATCH(LARGE(Comparativo!$O$6:$O$26,A19),Comparativo!$O$6:$O$26,0)),"")</f>
        <v/>
      </c>
      <c r="E19" s="22">
        <f>IFERROR(INDEX(Comparativo!$J$6:$J$26,MATCH(LARGE(Comparativo!$O$6:$O$26,A19),Comparativo!$O$6:$O$26,0)),"")</f>
        <v/>
      </c>
      <c r="F19" s="22">
        <f>IFERROR(INDEX(Comparativo!$K$6:$K$26,MATCH(LARGE(Comparativo!$O$6:$O$26,A19),Comparativo!$O$6:$O$26,0)),"")</f>
        <v/>
      </c>
      <c r="G19" s="23">
        <f>IFERROR(F19/D19,"")</f>
        <v/>
      </c>
    </row>
    <row r="20">
      <c r="A20" s="20" t="n">
        <v>4</v>
      </c>
      <c r="B20" s="21">
        <f>IFERROR(INDEX(Comparativo!$D$6:$D$26,MATCH(LARGE(Comparativo!$O$6:$O$26,A20),Comparativo!$O$6:$O$26,0)),"")</f>
        <v/>
      </c>
      <c r="C20" s="21">
        <f>IFERROR(INDEX(Comparativo!$B$6:$B$26,MATCH(LARGE(Comparativo!$O$6:$O$26,A20),Comparativo!$O$6:$O$26,0)),"")</f>
        <v/>
      </c>
      <c r="D20" s="22">
        <f>IFERROR(INDEX(Comparativo!$I$6:$I$26,MATCH(LARGE(Comparativo!$O$6:$O$26,A20),Comparativo!$O$6:$O$26,0)),"")</f>
        <v/>
      </c>
      <c r="E20" s="22">
        <f>IFERROR(INDEX(Comparativo!$J$6:$J$26,MATCH(LARGE(Comparativo!$O$6:$O$26,A20),Comparativo!$O$6:$O$26,0)),"")</f>
        <v/>
      </c>
      <c r="F20" s="22">
        <f>IFERROR(INDEX(Comparativo!$K$6:$K$26,MATCH(LARGE(Comparativo!$O$6:$O$26,A20),Comparativo!$O$6:$O$26,0)),"")</f>
        <v/>
      </c>
      <c r="G20" s="23">
        <f>IFERROR(F20/D20,"")</f>
        <v/>
      </c>
    </row>
    <row r="21">
      <c r="A21" s="20" t="n">
        <v>5</v>
      </c>
      <c r="B21" s="21">
        <f>IFERROR(INDEX(Comparativo!$D$6:$D$26,MATCH(LARGE(Comparativo!$O$6:$O$26,A21),Comparativo!$O$6:$O$26,0)),"")</f>
        <v/>
      </c>
      <c r="C21" s="21">
        <f>IFERROR(INDEX(Comparativo!$B$6:$B$26,MATCH(LARGE(Comparativo!$O$6:$O$26,A21),Comparativo!$O$6:$O$26,0)),"")</f>
        <v/>
      </c>
      <c r="D21" s="22">
        <f>IFERROR(INDEX(Comparativo!$I$6:$I$26,MATCH(LARGE(Comparativo!$O$6:$O$26,A21),Comparativo!$O$6:$O$26,0)),"")</f>
        <v/>
      </c>
      <c r="E21" s="22">
        <f>IFERROR(INDEX(Comparativo!$J$6:$J$26,MATCH(LARGE(Comparativo!$O$6:$O$26,A21),Comparativo!$O$6:$O$26,0)),"")</f>
        <v/>
      </c>
      <c r="F21" s="22">
        <f>IFERROR(INDEX(Comparativo!$K$6:$K$26,MATCH(LARGE(Comparativo!$O$6:$O$26,A21),Comparativo!$O$6:$O$26,0)),"")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34">
        <f>Planejado!A14</f>
        <v/>
      </c>
      <c r="B15" s="34">
        <f>Planejado!B14</f>
        <v/>
      </c>
      <c r="C15" s="34">
        <f>Planejado!C14</f>
        <v/>
      </c>
      <c r="D15" s="35">
        <f>Planejado!D14</f>
        <v/>
      </c>
      <c r="E15" s="34">
        <f>Planejado!G14</f>
        <v/>
      </c>
      <c r="F15" s="36">
        <f>INDEX(Planejado!$H14:$S14,$D$3)</f>
        <v/>
      </c>
      <c r="G15" s="36">
        <f>INDEX(Realizado!$H14:$S14,$D$3)</f>
        <v/>
      </c>
      <c r="H15" s="36">
        <f>G15-F15</f>
        <v/>
      </c>
      <c r="I15" s="36">
        <f>SUMPRODUCT((COLUMN(Planejado!$H$4:$S$4)-COLUMN(Planejado!$H$4)+1&lt;=$D$3)*Planejado!$H14:$S14)</f>
        <v/>
      </c>
      <c r="J15" s="36">
        <f>SUMPRODUCT((COLUMN(Realizado!$H$4:$S$4)-COLUMN(Realizado!$H$4)+1&lt;=$D$3)*Realizado!$H14:$S14)</f>
        <v/>
      </c>
      <c r="K15" s="36">
        <f>J15-I15</f>
        <v/>
      </c>
      <c r="L15" s="37">
        <f>IFERROR(K15/I15,"")</f>
        <v/>
      </c>
      <c r="M15" s="37">
        <f>IFERROR(J15/I15,"")</f>
        <v/>
      </c>
      <c r="N15" s="38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9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6">
        <f>SUM(F6:F26)</f>
        <v/>
      </c>
      <c r="G27" s="16">
        <f>SUM(G6:G26)</f>
        <v/>
      </c>
      <c r="H27" s="16">
        <f>SUM(H6:H26)</f>
        <v/>
      </c>
      <c r="I27" s="16">
        <f>SUM(I6:I26)</f>
        <v/>
      </c>
      <c r="J27" s="16">
        <f>SUM(J6:J26)</f>
        <v/>
      </c>
      <c r="K27" s="16">
        <f>SUM(K6:K26)</f>
        <v/>
      </c>
      <c r="L27" s="40">
        <f>IFERROR(K27/I27,"")</f>
        <v/>
      </c>
      <c r="M27" s="40">
        <f>IFERROR(J27/I27,"")</f>
        <v/>
      </c>
      <c r="N27" s="15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</t>
        </is>
      </c>
      <c r="E6" s="29" t="inlineStr">
        <is>
          <t>Analista Administrativo — orçada pelo custo total (encargos de folha + benefícios). Salário bruto informado: R$ 2.886,91/mês</t>
        </is>
      </c>
      <c r="F6" s="28" t="inlineStr">
        <is>
          <t>CLT</t>
        </is>
      </c>
      <c r="G6" s="28" t="inlineStr">
        <is>
          <t>Pessoal - CLT</t>
        </is>
      </c>
      <c r="H6" s="30" t="n">
        <v>4825.515</v>
      </c>
      <c r="I6" s="30" t="n">
        <v>4825.515</v>
      </c>
      <c r="J6" s="30" t="n">
        <v>4825.515</v>
      </c>
      <c r="K6" s="30" t="n">
        <v>4825.515</v>
      </c>
      <c r="L6" s="30" t="n">
        <v>4825.515</v>
      </c>
      <c r="M6" s="30" t="n">
        <v>4825.515</v>
      </c>
      <c r="N6" s="30" t="n">
        <v>4825.515</v>
      </c>
      <c r="O6" s="30" t="n">
        <v>4825.515</v>
      </c>
      <c r="P6" s="30" t="n">
        <v>4825.515</v>
      </c>
      <c r="Q6" s="30" t="n">
        <v>4825.515</v>
      </c>
      <c r="R6" s="30" t="n">
        <v>4825.515</v>
      </c>
      <c r="S6" s="30" t="n">
        <v>4825.515</v>
      </c>
      <c r="T6" s="41">
        <f>SUM(H6:S6)</f>
        <v/>
      </c>
    </row>
    <row r="7" ht="26" customHeight="1">
      <c r="A7" s="28" t="inlineStr">
        <is>
          <t>JUR-E03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Thamar Victória</t>
        </is>
      </c>
      <c r="E7" s="29" t="inlineStr">
        <is>
          <t>Advogada — reajuste permanente de R$ 5.000 para R$ 5.500 (revisado a partir de out/26)</t>
        </is>
      </c>
      <c r="F7" s="28" t="inlineStr">
        <is>
          <t>PJ</t>
        </is>
      </c>
      <c r="G7" s="28" t="inlineStr">
        <is>
          <t>Pessoal - PJ</t>
        </is>
      </c>
      <c r="H7" s="30" t="n">
        <v>5000</v>
      </c>
      <c r="I7" s="30" t="n">
        <v>5000</v>
      </c>
      <c r="J7" s="30" t="n">
        <v>5000</v>
      </c>
      <c r="K7" s="30" t="n">
        <v>5000</v>
      </c>
      <c r="L7" s="30" t="n">
        <v>5000</v>
      </c>
      <c r="M7" s="30" t="n">
        <v>5000</v>
      </c>
      <c r="N7" s="30" t="n">
        <v>5000</v>
      </c>
      <c r="O7" s="30" t="n">
        <v>5000</v>
      </c>
      <c r="P7" s="30" t="n">
        <v>5000</v>
      </c>
      <c r="Q7" s="30" t="n">
        <v>5500</v>
      </c>
      <c r="R7" s="30" t="n">
        <v>5500</v>
      </c>
      <c r="S7" s="30" t="n">
        <v>5500</v>
      </c>
      <c r="T7" s="41">
        <f>SUM(H7:S7)</f>
        <v/>
      </c>
    </row>
    <row r="8" ht="26" customHeight="1">
      <c r="A8" s="28" t="inlineStr">
        <is>
          <t>JUR-D01</t>
        </is>
      </c>
      <c r="B8" s="28" t="inlineStr">
        <is>
          <t>Jurídico</t>
        </is>
      </c>
      <c r="C8" s="28" t="inlineStr">
        <is>
          <t>Despesas</t>
        </is>
      </c>
      <c r="D8" s="29" t="inlineStr">
        <is>
          <t>JUSFY</t>
        </is>
      </c>
      <c r="E8" s="29" t="inlineStr">
        <is>
          <t>Fase de teste com objetivo de eliminar o Astrea</t>
        </is>
      </c>
      <c r="F8" s="28" t="inlineStr"/>
      <c r="G8" s="28" t="inlineStr">
        <is>
          <t>Licenças de Softwares</t>
        </is>
      </c>
      <c r="H8" s="30" t="n">
        <v>100</v>
      </c>
      <c r="I8" s="30" t="n">
        <v>100</v>
      </c>
      <c r="J8" s="30" t="n">
        <v>100</v>
      </c>
      <c r="K8" s="30" t="n">
        <v>100</v>
      </c>
      <c r="L8" s="30" t="n">
        <v>100</v>
      </c>
      <c r="M8" s="30" t="n">
        <v>100</v>
      </c>
      <c r="N8" s="30" t="n">
        <v>100</v>
      </c>
      <c r="O8" s="30" t="n">
        <v>100</v>
      </c>
      <c r="P8" s="30" t="n">
        <v>100</v>
      </c>
      <c r="Q8" s="30" t="n">
        <v>100</v>
      </c>
      <c r="R8" s="30" t="n">
        <v>100</v>
      </c>
      <c r="S8" s="30" t="n">
        <v>100</v>
      </c>
      <c r="T8" s="41">
        <f>SUM(H8:S8)</f>
        <v/>
      </c>
    </row>
    <row r="9" ht="26" customHeight="1">
      <c r="A9" s="28" t="inlineStr">
        <is>
          <t>JUR-D02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JUSBRASIL</t>
        </is>
      </c>
      <c r="E9" s="29" t="inlineStr"/>
      <c r="F9" s="28" t="inlineStr"/>
      <c r="G9" s="28" t="inlineStr">
        <is>
          <t>Licenças de Softwares</t>
        </is>
      </c>
      <c r="H9" s="30" t="n">
        <v>104.9</v>
      </c>
      <c r="I9" s="30" t="n">
        <v>104.9</v>
      </c>
      <c r="J9" s="30" t="n">
        <v>104.9</v>
      </c>
      <c r="K9" s="30" t="n">
        <v>104.9</v>
      </c>
      <c r="L9" s="30" t="n">
        <v>104.9</v>
      </c>
      <c r="M9" s="30" t="n">
        <v>104.9</v>
      </c>
      <c r="N9" s="30" t="n">
        <v>104.9</v>
      </c>
      <c r="O9" s="30" t="n">
        <v>104.9</v>
      </c>
      <c r="P9" s="30" t="n">
        <v>104.9</v>
      </c>
      <c r="Q9" s="30" t="n">
        <v>104.9</v>
      </c>
      <c r="R9" s="30" t="n">
        <v>104.9</v>
      </c>
      <c r="S9" s="30" t="n">
        <v>104.9</v>
      </c>
      <c r="T9" s="41">
        <f>SUM(H9:S9)</f>
        <v/>
      </c>
    </row>
    <row r="10" ht="26" customHeight="1">
      <c r="A10" s="28" t="inlineStr">
        <is>
          <t>JUR-D03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ASTREA</t>
        </is>
      </c>
      <c r="E10" s="29" t="inlineStr">
        <is>
          <t>Cancelado — realizado zerado desde mai/26</t>
        </is>
      </c>
      <c r="F10" s="28" t="inlineStr"/>
      <c r="G10" s="28" t="inlineStr">
        <is>
          <t>Licenças de Softwares</t>
        </is>
      </c>
      <c r="H10" s="30" t="n">
        <v>112.07</v>
      </c>
      <c r="I10" s="30" t="n">
        <v>112.07</v>
      </c>
      <c r="J10" s="30" t="n">
        <v>112.07</v>
      </c>
      <c r="K10" s="30" t="n">
        <v>112.07</v>
      </c>
      <c r="L10" s="30" t="n">
        <v>112.07</v>
      </c>
      <c r="M10" s="30" t="n">
        <v>112.07</v>
      </c>
      <c r="N10" s="30" t="n">
        <v>112.07</v>
      </c>
      <c r="O10" s="30" t="n">
        <v>112.07</v>
      </c>
      <c r="P10" s="30" t="n">
        <v>112.07</v>
      </c>
      <c r="Q10" s="30" t="n">
        <v>112.07</v>
      </c>
      <c r="R10" s="30" t="n">
        <v>112.07</v>
      </c>
      <c r="S10" s="30" t="n">
        <v>112.07</v>
      </c>
      <c r="T10" s="41">
        <f>SUM(H10:S10)</f>
        <v/>
      </c>
    </row>
    <row r="11" ht="26" customHeight="1">
      <c r="A11" s="28" t="inlineStr">
        <is>
          <t>JUR-D04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LEME</t>
        </is>
      </c>
      <c r="E11" s="29" t="inlineStr"/>
      <c r="F11" s="28" t="inlineStr"/>
      <c r="G11" s="28" t="inlineStr">
        <is>
          <t>Licenças de Softwares</t>
        </is>
      </c>
      <c r="H11" s="30" t="n">
        <v>1030</v>
      </c>
      <c r="I11" s="30" t="n">
        <v>1030</v>
      </c>
      <c r="J11" s="30" t="n">
        <v>1030</v>
      </c>
      <c r="K11" s="30" t="n">
        <v>1030</v>
      </c>
      <c r="L11" s="30" t="n">
        <v>1030</v>
      </c>
      <c r="M11" s="30" t="n">
        <v>1030</v>
      </c>
      <c r="N11" s="30" t="n">
        <v>1030</v>
      </c>
      <c r="O11" s="30" t="n">
        <v>1030</v>
      </c>
      <c r="P11" s="30" t="n">
        <v>1030</v>
      </c>
      <c r="Q11" s="30" t="n">
        <v>1030</v>
      </c>
      <c r="R11" s="30" t="n">
        <v>1030</v>
      </c>
      <c r="S11" s="30" t="n">
        <v>1030</v>
      </c>
      <c r="T11" s="41">
        <f>SUM(H11:S11)</f>
        <v/>
      </c>
    </row>
    <row r="12" ht="26" customHeight="1">
      <c r="A12" s="28" t="inlineStr">
        <is>
          <t>JUR-D05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Cursos / Eventos / Network</t>
        </is>
      </c>
      <c r="E12" s="29" t="inlineStr"/>
      <c r="F12" s="28" t="inlineStr"/>
      <c r="G12" s="28" t="inlineStr">
        <is>
          <t>Custeio de Treinamento</t>
        </is>
      </c>
      <c r="H12" s="30" t="n">
        <v>1000</v>
      </c>
      <c r="I12" s="30" t="n">
        <v>1000</v>
      </c>
      <c r="J12" s="30" t="n">
        <v>1000</v>
      </c>
      <c r="K12" s="30" t="n">
        <v>1000</v>
      </c>
      <c r="L12" s="30" t="n">
        <v>1000</v>
      </c>
      <c r="M12" s="30" t="n">
        <v>1000</v>
      </c>
      <c r="N12" s="30" t="n">
        <v>1000</v>
      </c>
      <c r="O12" s="30" t="n">
        <v>1000</v>
      </c>
      <c r="P12" s="30" t="n">
        <v>1000</v>
      </c>
      <c r="Q12" s="30" t="n">
        <v>1000</v>
      </c>
      <c r="R12" s="30" t="n">
        <v>1000</v>
      </c>
      <c r="S12" s="30" t="n">
        <v>1000</v>
      </c>
      <c r="T12" s="41">
        <f>SUM(H12:S12)</f>
        <v/>
      </c>
    </row>
    <row r="13" ht="26" customHeight="1">
      <c r="A13" s="28" t="inlineStr">
        <is>
          <t>JUR-D06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Bonificações trimestrais/semestrais do time</t>
        </is>
      </c>
      <c r="E13" s="29" t="inlineStr">
        <is>
          <t>Participação em projetos e atingimento de resultados — CONFIRMAR se houve parcela no 1º quadrimestre</t>
        </is>
      </c>
      <c r="F13" s="28" t="inlineStr"/>
      <c r="G13" s="28" t="inlineStr">
        <is>
          <t>Prêmios</t>
        </is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10293.6</v>
      </c>
      <c r="P13" s="30" t="n">
        <v>0</v>
      </c>
      <c r="Q13" s="30" t="n">
        <v>0</v>
      </c>
      <c r="R13" s="30" t="n">
        <v>0</v>
      </c>
      <c r="S13" s="30" t="n">
        <v>12867</v>
      </c>
      <c r="T13" s="41">
        <f>SUM(H13:S13)</f>
        <v/>
      </c>
    </row>
    <row r="14" ht="26" customHeight="1">
      <c r="A14" s="34" t="inlineStr">
        <is>
          <t>TI-E01</t>
        </is>
      </c>
      <c r="B14" s="34" t="inlineStr">
        <is>
          <t>TI</t>
        </is>
      </c>
      <c r="C14" s="34" t="inlineStr">
        <is>
          <t>Equipe</t>
        </is>
      </c>
      <c r="D14" s="35" t="inlineStr">
        <is>
          <t>Vinicius Di Franco</t>
        </is>
      </c>
      <c r="E14" s="3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4" t="inlineStr">
        <is>
          <t>CLT</t>
        </is>
      </c>
      <c r="G14" s="34" t="inlineStr">
        <is>
          <t>Pessoal - CLT</t>
        </is>
      </c>
      <c r="H14" s="36" t="n">
        <v>5416.525</v>
      </c>
      <c r="I14" s="36" t="n">
        <v>5416.525</v>
      </c>
      <c r="J14" s="36" t="n">
        <v>5416.525</v>
      </c>
      <c r="K14" s="36" t="n">
        <v>5416.525</v>
      </c>
      <c r="L14" s="36" t="n">
        <v>5416.525</v>
      </c>
      <c r="M14" s="36" t="n">
        <v>5416.525</v>
      </c>
      <c r="N14" s="36" t="n">
        <v>5416.525</v>
      </c>
      <c r="O14" s="36" t="n">
        <v>5416.525</v>
      </c>
      <c r="P14" s="36" t="n">
        <v>5416.525</v>
      </c>
      <c r="Q14" s="36" t="n">
        <v>5416.525</v>
      </c>
      <c r="R14" s="36" t="n">
        <v>5416.525</v>
      </c>
      <c r="S14" s="36" t="n">
        <v>5416.525</v>
      </c>
      <c r="T14" s="41">
        <f>SUM(H14:S14)</f>
        <v/>
      </c>
    </row>
    <row r="15" ht="26" customHeight="1">
      <c r="A15" s="34" t="inlineStr">
        <is>
          <t>TI-E02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Elias Benedito</t>
        </is>
      </c>
      <c r="E15" s="35" t="inlineStr">
        <is>
          <t>Suporte Técnico Terceirizado</t>
        </is>
      </c>
      <c r="F15" s="34" t="inlineStr">
        <is>
          <t>PJ</t>
        </is>
      </c>
      <c r="G15" s="34" t="inlineStr">
        <is>
          <t>Pessoal - PJ</t>
        </is>
      </c>
      <c r="H15" s="36" t="n">
        <v>1065</v>
      </c>
      <c r="I15" s="36" t="n">
        <v>1065</v>
      </c>
      <c r="J15" s="36" t="n">
        <v>1065</v>
      </c>
      <c r="K15" s="36" t="n">
        <v>1065</v>
      </c>
      <c r="L15" s="36" t="n">
        <v>1065</v>
      </c>
      <c r="M15" s="36" t="n">
        <v>1065</v>
      </c>
      <c r="N15" s="36" t="n">
        <v>1065</v>
      </c>
      <c r="O15" s="36" t="n">
        <v>1065</v>
      </c>
      <c r="P15" s="36" t="n">
        <v>1065</v>
      </c>
      <c r="Q15" s="36" t="n">
        <v>1065</v>
      </c>
      <c r="R15" s="36" t="n">
        <v>1065</v>
      </c>
      <c r="S15" s="36" t="n">
        <v>1065</v>
      </c>
      <c r="T15" s="41">
        <f>SUM(H15:S15)</f>
        <v/>
      </c>
    </row>
    <row r="16" ht="26" customHeight="1">
      <c r="A16" s="34" t="inlineStr">
        <is>
          <t>TI-E03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Jonathan</t>
        </is>
      </c>
      <c r="E16" s="35" t="inlineStr">
        <is>
          <t>Consultor — entrada em abr/26 (9 meses), conforme o total da ficha original</t>
        </is>
      </c>
      <c r="F16" s="34" t="inlineStr">
        <is>
          <t>PJ</t>
        </is>
      </c>
      <c r="G16" s="34" t="inlineStr">
        <is>
          <t>Pessoal - PJ</t>
        </is>
      </c>
      <c r="H16" s="36" t="n">
        <v>0</v>
      </c>
      <c r="I16" s="36" t="n">
        <v>0</v>
      </c>
      <c r="J16" s="36" t="n">
        <v>0</v>
      </c>
      <c r="K16" s="36" t="n">
        <v>10000</v>
      </c>
      <c r="L16" s="36" t="n">
        <v>10000</v>
      </c>
      <c r="M16" s="36" t="n">
        <v>10000</v>
      </c>
      <c r="N16" s="36" t="n">
        <v>10000</v>
      </c>
      <c r="O16" s="36" t="n">
        <v>10000</v>
      </c>
      <c r="P16" s="36" t="n">
        <v>10000</v>
      </c>
      <c r="Q16" s="36" t="n">
        <v>10000</v>
      </c>
      <c r="R16" s="36" t="n">
        <v>10000</v>
      </c>
      <c r="S16" s="36" t="n">
        <v>10000</v>
      </c>
      <c r="T16" s="41">
        <f>SUM(H16:S16)</f>
        <v/>
      </c>
    </row>
    <row r="17" ht="26" customHeight="1">
      <c r="A17" s="34" t="inlineStr">
        <is>
          <t>TI-D01</t>
        </is>
      </c>
      <c r="B17" s="34" t="inlineStr">
        <is>
          <t>TI</t>
        </is>
      </c>
      <c r="C17" s="34" t="inlineStr">
        <is>
          <t>Despesas</t>
        </is>
      </c>
      <c r="D17" s="35" t="inlineStr">
        <is>
          <t>Peças de Manutenção</t>
        </is>
      </c>
      <c r="E17" s="35" t="inlineStr">
        <is>
          <t>Tela, teclado, carcaça, mouses de reposição, carregadores etc.</t>
        </is>
      </c>
      <c r="F17" s="34" t="inlineStr"/>
      <c r="G17" s="34" t="inlineStr">
        <is>
          <t>Equipamentos Eletrônicos Diversos</t>
        </is>
      </c>
      <c r="H17" s="36" t="n">
        <v>810</v>
      </c>
      <c r="I17" s="36" t="n">
        <v>810</v>
      </c>
      <c r="J17" s="36" t="n">
        <v>810</v>
      </c>
      <c r="K17" s="36" t="n">
        <v>810</v>
      </c>
      <c r="L17" s="36" t="n">
        <v>810</v>
      </c>
      <c r="M17" s="36" t="n">
        <v>810</v>
      </c>
      <c r="N17" s="36" t="n">
        <v>810</v>
      </c>
      <c r="O17" s="36" t="n">
        <v>810</v>
      </c>
      <c r="P17" s="36" t="n">
        <v>810</v>
      </c>
      <c r="Q17" s="36" t="n">
        <v>810</v>
      </c>
      <c r="R17" s="36" t="n">
        <v>810</v>
      </c>
      <c r="S17" s="36" t="n">
        <v>810</v>
      </c>
      <c r="T17" s="41">
        <f>SUM(H17:S17)</f>
        <v/>
      </c>
    </row>
    <row r="18" ht="26" customHeight="1">
      <c r="A18" s="34" t="inlineStr">
        <is>
          <t>TI-D02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Backup em Nuvem</t>
        </is>
      </c>
      <c r="E18" s="35" t="inlineStr">
        <is>
          <t>Serviço de backup em nuvem para servidor — RATEIO A DEFINIR</t>
        </is>
      </c>
      <c r="F18" s="34" t="inlineStr"/>
      <c r="G18" s="34" t="inlineStr">
        <is>
          <t>Licenças de Softwares</t>
        </is>
      </c>
      <c r="H18" s="36" t="n">
        <v>825</v>
      </c>
      <c r="I18" s="36" t="n">
        <v>825</v>
      </c>
      <c r="J18" s="36" t="n">
        <v>825</v>
      </c>
      <c r="K18" s="36" t="n">
        <v>825</v>
      </c>
      <c r="L18" s="36" t="n">
        <v>825</v>
      </c>
      <c r="M18" s="36" t="n">
        <v>825</v>
      </c>
      <c r="N18" s="36" t="n">
        <v>825</v>
      </c>
      <c r="O18" s="36" t="n">
        <v>825</v>
      </c>
      <c r="P18" s="36" t="n">
        <v>825</v>
      </c>
      <c r="Q18" s="36" t="n">
        <v>825</v>
      </c>
      <c r="R18" s="36" t="n">
        <v>825</v>
      </c>
      <c r="S18" s="36" t="n">
        <v>825</v>
      </c>
      <c r="T18" s="41">
        <f>SUM(H18:S18)</f>
        <v/>
      </c>
    </row>
    <row r="19" ht="26" customHeight="1">
      <c r="A19" s="34" t="inlineStr">
        <is>
          <t>TI-D03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Inteligência Artificial (Adapta)</t>
        </is>
      </c>
      <c r="E19" s="35" t="inlineStr">
        <is>
          <t>Plataforma de IA para utilização de agentes — RATEIO A DEFINIR</t>
        </is>
      </c>
      <c r="F19" s="34" t="inlineStr"/>
      <c r="G19" s="34" t="inlineStr">
        <is>
          <t>Licenças de Softwares</t>
        </is>
      </c>
      <c r="H19" s="36" t="n">
        <v>1300</v>
      </c>
      <c r="I19" s="36" t="n">
        <v>1300</v>
      </c>
      <c r="J19" s="36" t="n">
        <v>1300</v>
      </c>
      <c r="K19" s="36" t="n">
        <v>1300</v>
      </c>
      <c r="L19" s="36" t="n">
        <v>1300</v>
      </c>
      <c r="M19" s="36" t="n">
        <v>1300</v>
      </c>
      <c r="N19" s="36" t="n">
        <v>1600</v>
      </c>
      <c r="O19" s="36" t="n">
        <v>1600</v>
      </c>
      <c r="P19" s="36" t="n">
        <v>1600</v>
      </c>
      <c r="Q19" s="36" t="n">
        <v>1600</v>
      </c>
      <c r="R19" s="36" t="n">
        <v>1600</v>
      </c>
      <c r="S19" s="36" t="n">
        <v>1600</v>
      </c>
      <c r="T19" s="41">
        <f>SUM(H19:S19)</f>
        <v/>
      </c>
    </row>
    <row r="20" ht="26" customHeight="1">
      <c r="A20" s="34" t="inlineStr">
        <is>
          <t>TI-D04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Antivírus</t>
        </is>
      </c>
      <c r="E20" s="35" t="inlineStr">
        <is>
          <t>Proteção para equipamentos — RATEIO A DEFINIR</t>
        </is>
      </c>
      <c r="F20" s="34" t="inlineStr"/>
      <c r="G20" s="34" t="inlineStr">
        <is>
          <t>Licenças de Softwares</t>
        </is>
      </c>
      <c r="H20" s="36" t="n">
        <v>240</v>
      </c>
      <c r="I20" s="36" t="n">
        <v>240</v>
      </c>
      <c r="J20" s="36" t="n">
        <v>240</v>
      </c>
      <c r="K20" s="36" t="n">
        <v>240</v>
      </c>
      <c r="L20" s="36" t="n">
        <v>240</v>
      </c>
      <c r="M20" s="36" t="n">
        <v>240</v>
      </c>
      <c r="N20" s="36" t="n">
        <v>240</v>
      </c>
      <c r="O20" s="36" t="n">
        <v>240</v>
      </c>
      <c r="P20" s="36" t="n">
        <v>240</v>
      </c>
      <c r="Q20" s="36" t="n">
        <v>240</v>
      </c>
      <c r="R20" s="36" t="n">
        <v>240</v>
      </c>
      <c r="S20" s="36" t="n">
        <v>240</v>
      </c>
      <c r="T20" s="41">
        <f>SUM(H20:S20)</f>
        <v/>
      </c>
    </row>
    <row r="21" ht="26" customHeight="1">
      <c r="A21" s="34" t="inlineStr">
        <is>
          <t>TI-D05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Pacote Office 365</t>
        </is>
      </c>
      <c r="E21" s="35" t="inlineStr">
        <is>
          <t>Licenças de software (conferir nº de licenças x usuários) — RATEIO A DEFINIR</t>
        </is>
      </c>
      <c r="F21" s="34" t="inlineStr"/>
      <c r="G21" s="34" t="inlineStr">
        <is>
          <t>Licenças de Softwares</t>
        </is>
      </c>
      <c r="H21" s="36" t="n">
        <v>375</v>
      </c>
      <c r="I21" s="36" t="n">
        <v>375</v>
      </c>
      <c r="J21" s="36" t="n">
        <v>375</v>
      </c>
      <c r="K21" s="36" t="n">
        <v>375</v>
      </c>
      <c r="L21" s="36" t="n">
        <v>375</v>
      </c>
      <c r="M21" s="36" t="n">
        <v>375</v>
      </c>
      <c r="N21" s="36" t="n">
        <v>375</v>
      </c>
      <c r="O21" s="36" t="n">
        <v>375</v>
      </c>
      <c r="P21" s="36" t="n">
        <v>375</v>
      </c>
      <c r="Q21" s="36" t="n">
        <v>375</v>
      </c>
      <c r="R21" s="36" t="n">
        <v>375</v>
      </c>
      <c r="S21" s="36" t="n">
        <v>375</v>
      </c>
      <c r="T21" s="41">
        <f>SUM(H21:S21)</f>
        <v/>
      </c>
    </row>
    <row r="22" ht="26" customHeight="1">
      <c r="A22" s="34" t="inlineStr">
        <is>
          <t>TI-D06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Projeto Melhoria de Infraestrutura - Sala de Reunião</t>
        </is>
      </c>
      <c r="E22" s="35" t="inlineStr">
        <is>
          <t>Cadeiras, cafeteira, copos, canetas, blocos personalizados, câmeras, microfones etc.</t>
        </is>
      </c>
      <c r="F22" s="34" t="inlineStr"/>
      <c r="G22" s="34" t="inlineStr">
        <is>
          <t>Móveis e Utensílios</t>
        </is>
      </c>
      <c r="H22" s="36" t="n">
        <v>2800</v>
      </c>
      <c r="I22" s="36" t="n">
        <v>2800</v>
      </c>
      <c r="J22" s="36" t="n">
        <v>2800</v>
      </c>
      <c r="K22" s="36" t="n">
        <v>2800</v>
      </c>
      <c r="L22" s="36" t="n">
        <v>2800</v>
      </c>
      <c r="M22" s="36" t="n">
        <v>2800</v>
      </c>
      <c r="N22" s="36" t="n">
        <v>2800</v>
      </c>
      <c r="O22" s="36" t="n">
        <v>2800</v>
      </c>
      <c r="P22" s="36" t="n">
        <v>2800</v>
      </c>
      <c r="Q22" s="36" t="n">
        <v>2800</v>
      </c>
      <c r="R22" s="36" t="n">
        <v>2800</v>
      </c>
      <c r="S22" s="36" t="n">
        <v>2800</v>
      </c>
      <c r="T22" s="41">
        <f>SUM(H22:S22)</f>
        <v/>
      </c>
    </row>
    <row r="23" ht="26" customHeight="1">
      <c r="A23" s="34" t="inlineStr">
        <is>
          <t>TI-D07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Cursos e Treinamentos</t>
        </is>
      </c>
      <c r="E23" s="35" t="inlineStr"/>
      <c r="F23" s="34" t="inlineStr"/>
      <c r="G23" s="34" t="inlineStr">
        <is>
          <t>Custeio de Treinamento</t>
        </is>
      </c>
      <c r="H23" s="36" t="n">
        <v>200</v>
      </c>
      <c r="I23" s="36" t="n">
        <v>200</v>
      </c>
      <c r="J23" s="36" t="n">
        <v>200</v>
      </c>
      <c r="K23" s="36" t="n">
        <v>200</v>
      </c>
      <c r="L23" s="36" t="n">
        <v>200</v>
      </c>
      <c r="M23" s="36" t="n">
        <v>200</v>
      </c>
      <c r="N23" s="36" t="n">
        <v>200</v>
      </c>
      <c r="O23" s="36" t="n">
        <v>200</v>
      </c>
      <c r="P23" s="36" t="n">
        <v>200</v>
      </c>
      <c r="Q23" s="36" t="n">
        <v>200</v>
      </c>
      <c r="R23" s="36" t="n">
        <v>200</v>
      </c>
      <c r="S23" s="36" t="n">
        <v>200</v>
      </c>
      <c r="T23" s="41">
        <f>SUM(H23:S23)</f>
        <v/>
      </c>
    </row>
    <row r="24" ht="26" customHeight="1">
      <c r="A24" s="34" t="inlineStr">
        <is>
          <t>TI-D08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Aplicativo de Gravação de Reunião</t>
        </is>
      </c>
      <c r="E24" s="35" t="inlineStr"/>
      <c r="F24" s="34" t="inlineStr"/>
      <c r="G24" s="34" t="inlineStr">
        <is>
          <t>Licenças de Softwares</t>
        </is>
      </c>
      <c r="H24" s="36" t="n">
        <v>220</v>
      </c>
      <c r="I24" s="36" t="n">
        <v>220</v>
      </c>
      <c r="J24" s="36" t="n">
        <v>220</v>
      </c>
      <c r="K24" s="36" t="n">
        <v>220</v>
      </c>
      <c r="L24" s="36" t="n">
        <v>220</v>
      </c>
      <c r="M24" s="36" t="n">
        <v>220</v>
      </c>
      <c r="N24" s="36" t="n">
        <v>220</v>
      </c>
      <c r="O24" s="36" t="n">
        <v>220</v>
      </c>
      <c r="P24" s="36" t="n">
        <v>220</v>
      </c>
      <c r="Q24" s="36" t="n">
        <v>220</v>
      </c>
      <c r="R24" s="36" t="n">
        <v>220</v>
      </c>
      <c r="S24" s="36" t="n">
        <v>220</v>
      </c>
      <c r="T24" s="41">
        <f>SUM(H24:S24)</f>
        <v/>
      </c>
    </row>
    <row r="25" ht="26" customHeight="1">
      <c r="A25" s="34" t="inlineStr">
        <is>
          <t>TI-D09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Bonificação do time</t>
        </is>
      </c>
      <c r="E25" s="35" t="inlineStr">
        <is>
          <t>Cumprimento de prazos e participação em projetos — CONFIRMAR se houve parcela no 1º quadrimestre</t>
        </is>
      </c>
      <c r="F25" s="34" t="inlineStr"/>
      <c r="G25" s="34" t="inlineStr">
        <is>
          <t>Prêmios</t>
        </is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6" t="n">
        <v>2400</v>
      </c>
      <c r="P25" s="36" t="n">
        <v>0</v>
      </c>
      <c r="Q25" s="36" t="n">
        <v>0</v>
      </c>
      <c r="R25" s="36" t="n">
        <v>0</v>
      </c>
      <c r="S25" s="36" t="n">
        <v>3600</v>
      </c>
      <c r="T25" s="41">
        <f>SUM(H25:S25)</f>
        <v/>
      </c>
    </row>
    <row r="26">
      <c r="A26" s="15" t="inlineStr">
        <is>
          <t>TOTAL GERAL</t>
        </is>
      </c>
      <c r="B26" s="15" t="n"/>
      <c r="C26" s="15" t="n"/>
      <c r="D26" s="15" t="n"/>
      <c r="E26" s="15" t="n"/>
      <c r="F26" s="15" t="n"/>
      <c r="G26" s="15" t="n"/>
      <c r="H26" s="16">
        <f>SUM(H5:H25)</f>
        <v/>
      </c>
      <c r="I26" s="16">
        <f>SUM(I5:I25)</f>
        <v/>
      </c>
      <c r="J26" s="16">
        <f>SUM(J5:J25)</f>
        <v/>
      </c>
      <c r="K26" s="16">
        <f>SUM(K5:K25)</f>
        <v/>
      </c>
      <c r="L26" s="16">
        <f>SUM(L5:L25)</f>
        <v/>
      </c>
      <c r="M26" s="16">
        <f>SUM(M5:M25)</f>
        <v/>
      </c>
      <c r="N26" s="16">
        <f>SUM(N5:N25)</f>
        <v/>
      </c>
      <c r="O26" s="16">
        <f>SUM(O5:O25)</f>
        <v/>
      </c>
      <c r="P26" s="16">
        <f>SUM(P5:P25)</f>
        <v/>
      </c>
      <c r="Q26" s="16">
        <f>SUM(Q5:Q25)</f>
        <v/>
      </c>
      <c r="R26" s="16">
        <f>SUM(R5:R25)</f>
        <v/>
      </c>
      <c r="S26" s="16">
        <f>SUM(S5:S25)</f>
        <v/>
      </c>
      <c r="T26" s="16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/>
      <c r="I5" s="45" t="n"/>
      <c r="J5" s="45" t="n"/>
      <c r="K5" s="45" t="n"/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/>
      <c r="M6" s="45" t="n"/>
      <c r="N6" s="45" t="n"/>
      <c r="O6" s="45" t="n"/>
      <c r="T6" s="41">
        <f>SUM(H6:S6)</f>
        <v/>
      </c>
      <c r="U6" s="46" t="n"/>
      <c r="V6" s="46" t="inlineStr">
        <is>
          <t>PREENCHER com o CUSTO TOTAL. Bruto informado: R$ 2.886,91/mês — faltam encargos e benefícios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>
        <v>5500</v>
      </c>
      <c r="M7" s="45" t="n">
        <v>5500</v>
      </c>
      <c r="N7" s="45" t="n">
        <v>5500</v>
      </c>
      <c r="O7" s="45" t="n"/>
      <c r="T7" s="41">
        <f>SUM(H7:S7)</f>
        <v/>
      </c>
      <c r="U7" s="46" t="inlineStr">
        <is>
          <t>Gestora, 05/08/26</t>
        </is>
      </c>
      <c r="V7" s="46" t="inlineStr">
        <is>
          <t>Reajuste permanente aplicado desde mai/26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/>
      <c r="I8" s="45" t="n"/>
      <c r="J8" s="45" t="n"/>
      <c r="K8" s="45" t="n"/>
      <c r="L8" s="45" t="n">
        <v>0</v>
      </c>
      <c r="M8" s="45" t="n">
        <v>0</v>
      </c>
      <c r="N8" s="45" t="n">
        <v>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Ainda não iniciado — sem cobrança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/>
      <c r="I9" s="45" t="n"/>
      <c r="J9" s="45" t="n"/>
      <c r="K9" s="45" t="n"/>
      <c r="L9" s="45" t="n">
        <v>136</v>
      </c>
      <c r="M9" s="45" t="n">
        <v>136</v>
      </c>
      <c r="N9" s="45" t="n">
        <v>136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Acima do orçado (R$ 104,90) — conferir contrato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/>
      <c r="I10" s="45" t="n"/>
      <c r="J10" s="45" t="n"/>
      <c r="K10" s="45" t="n"/>
      <c r="L10" s="45" t="n">
        <v>0</v>
      </c>
      <c r="M10" s="45" t="n">
        <v>0</v>
      </c>
      <c r="N10" s="45" t="n">
        <v>0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Cancelado — sem cobrança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/>
      <c r="I11" s="45" t="n"/>
      <c r="J11" s="45" t="n"/>
      <c r="K11" s="45" t="n"/>
      <c r="L11" s="45" t="n">
        <v>970</v>
      </c>
      <c r="M11" s="45" t="n">
        <v>970</v>
      </c>
      <c r="N11" s="45" t="n">
        <v>970</v>
      </c>
      <c r="O11" s="45" t="n"/>
      <c r="T11" s="41">
        <f>SUM(H11:S11)</f>
        <v/>
      </c>
      <c r="U11" s="46" t="inlineStr">
        <is>
          <t>Gestora, 05/08/26</t>
        </is>
      </c>
      <c r="V11" s="46" t="n"/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/>
      <c r="I12" s="45" t="n"/>
      <c r="J12" s="45" t="n"/>
      <c r="K12" s="45" t="n"/>
      <c r="L12" s="45" t="n">
        <v>0</v>
      </c>
      <c r="M12" s="45" t="n">
        <v>0</v>
      </c>
      <c r="N12" s="45" t="n">
        <v>0</v>
      </c>
      <c r="O12" s="45" t="n"/>
      <c r="T12" s="41">
        <f>SUM(H12:S12)</f>
        <v/>
      </c>
      <c r="U12" s="46" t="inlineStr">
        <is>
          <t>Gestora, 05/08/26</t>
        </is>
      </c>
      <c r="V12" s="46" t="inlineStr">
        <is>
          <t>Sem gasto no período</t>
        </is>
      </c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/>
      <c r="I13" s="45" t="n"/>
      <c r="J13" s="45" t="n"/>
      <c r="K13" s="45" t="n"/>
      <c r="L13" s="45" t="n"/>
      <c r="M13" s="45" t="n"/>
      <c r="N13" s="45" t="n"/>
      <c r="O13" s="45" t="n"/>
      <c r="T13" s="41">
        <f>SUM(H13:S13)</f>
        <v/>
      </c>
      <c r="U13" s="46" t="n"/>
      <c r="V13" s="46" t="inlineStr">
        <is>
          <t>Bonificação de ago/26 a confirmar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PREENCHER com o CUSTO TOTAL. Bruto: R$ 2.570,52/mês até jul e R$ 3.070,52 de ago — faltam encargos e benefícios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/>
      <c r="I15" s="45" t="n"/>
      <c r="J15" s="45" t="n"/>
      <c r="K15" s="45" t="n"/>
      <c r="L15" s="45" t="n">
        <v>0</v>
      </c>
      <c r="M15" s="45" t="n">
        <v>0</v>
      </c>
      <c r="N15" s="45" t="n">
        <v>0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Sem acionamento no período — confirmar se o contrato segue ativo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>
        <v>6300</v>
      </c>
      <c r="M16" s="45" t="n">
        <v>6300</v>
      </c>
      <c r="N16" s="45" t="n">
        <v>6300</v>
      </c>
      <c r="O16" s="45" t="n"/>
      <c r="T16" s="41">
        <f>SUM(H16:S16)</f>
        <v/>
      </c>
      <c r="U16" s="46" t="inlineStr">
        <is>
          <t>Gestora, 05/08/26</t>
        </is>
      </c>
      <c r="V16" s="46" t="inlineStr">
        <is>
          <t>R$ 3.700/mês abaixo do contratado — confirmar escopo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T17" s="41">
        <f>SUM(H17:S17)</f>
        <v/>
      </c>
      <c r="U17" s="46" t="n"/>
      <c r="V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T18" s="41">
        <f>SUM(H18:S18)</f>
        <v/>
      </c>
      <c r="U18" s="46" t="n"/>
      <c r="V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>
      <c r="A26" s="47" t="inlineStr">
        <is>
          <t>TOTAL GERAL</t>
        </is>
      </c>
      <c r="B26" s="47" t="n"/>
      <c r="C26" s="47" t="n"/>
      <c r="D26" s="47" t="n"/>
      <c r="E26" s="47" t="n"/>
      <c r="F26" s="47" t="n"/>
      <c r="G26" s="47" t="n"/>
      <c r="H26" s="48">
        <f>SUM(H5:H25)</f>
        <v/>
      </c>
      <c r="I26" s="48">
        <f>SUM(I5:I25)</f>
        <v/>
      </c>
      <c r="J26" s="48">
        <f>SUM(J5:J25)</f>
        <v/>
      </c>
      <c r="K26" s="48">
        <f>SUM(K5:K25)</f>
        <v/>
      </c>
      <c r="L26" s="48">
        <f>SUM(L5:L25)</f>
        <v/>
      </c>
      <c r="M26" s="48">
        <f>SUM(M5:M25)</f>
        <v/>
      </c>
      <c r="N26" s="48">
        <f>SUM(N5:N25)</f>
        <v/>
      </c>
      <c r="O26" s="48">
        <f>SUM(O5:O25)</f>
        <v/>
      </c>
      <c r="P26" s="48">
        <f>SUM(P5:P25)</f>
        <v/>
      </c>
      <c r="Q26" s="48">
        <f>SUM(Q5:Q25)</f>
        <v/>
      </c>
      <c r="R26" s="48">
        <f>SUM(R5:R25)</f>
        <v/>
      </c>
      <c r="S26" s="48">
        <f>SUM(S5:S25)</f>
        <v/>
      </c>
      <c r="T26" s="48">
        <f>SUM(T5:T25)</f>
        <v/>
      </c>
      <c r="U26" s="47" t="n"/>
      <c r="V26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SUMIFS(Planejado!$H$5:$H$25,Planejado!$B$5:$B$25,"Jurídico")</f>
        <v/>
      </c>
      <c r="C5" s="30">
        <f>SUMIFS(Realizado!$H$5:$H$25,Realizado!$B$5:$B$25,"Jurídico")</f>
        <v/>
      </c>
      <c r="D5" s="30">
        <f>SUMIFS(Planejado!$H$5:$H$25,Planejado!$B$5:$B$25,"TI")</f>
        <v/>
      </c>
      <c r="E5" s="30">
        <f>SUMIFS(Realizado!$H$5:$H$25,Realizado!$B$5:$B$25,"TI")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SUMIFS(Planejado!$I$5:$I$25,Planejado!$B$5:$B$25,"Jurídico")</f>
        <v/>
      </c>
      <c r="C6" s="36">
        <f>SUMIFS(Realizado!$I$5:$I$25,Realizado!$B$5:$B$25,"Jurídico")</f>
        <v/>
      </c>
      <c r="D6" s="36">
        <f>SUMIFS(Planejado!$I$5:$I$25,Planejado!$B$5:$B$25,"TI")</f>
        <v/>
      </c>
      <c r="E6" s="36">
        <f>SUMIFS(Realizado!$I$5:$I$25,Realizado!$B$5:$B$25,"TI")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SUMIFS(Planejado!$J$5:$J$25,Planejado!$B$5:$B$25,"Jurídico")</f>
        <v/>
      </c>
      <c r="C7" s="30">
        <f>SUMIFS(Realizado!$J$5:$J$25,Realizado!$B$5:$B$25,"Jurídico")</f>
        <v/>
      </c>
      <c r="D7" s="30">
        <f>SUMIFS(Planejado!$J$5:$J$25,Planejado!$B$5:$B$25,"TI")</f>
        <v/>
      </c>
      <c r="E7" s="30">
        <f>SUMIFS(Realizado!$J$5:$J$25,Realizado!$B$5:$B$25,"TI")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SUMIFS(Planejado!$K$5:$K$25,Planejado!$B$5:$B$25,"Jurídico")</f>
        <v/>
      </c>
      <c r="C8" s="36">
        <f>SUMIFS(Realizado!$K$5:$K$25,Realizado!$B$5:$B$25,"Jurídico")</f>
        <v/>
      </c>
      <c r="D8" s="36">
        <f>SUMIFS(Planejado!$K$5:$K$25,Planejado!$B$5:$B$25,"TI")</f>
        <v/>
      </c>
      <c r="E8" s="36">
        <f>SUMIFS(Realizado!$K$5:$K$25,Realizado!$B$5:$B$25,"TI")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SUMIFS(Planejado!$L$5:$L$25,Planejado!$B$5:$B$25,"Jurídico")</f>
        <v/>
      </c>
      <c r="C9" s="30">
        <f>SUMIFS(Realizado!$L$5:$L$25,Realizado!$B$5:$B$25,"Jurídico")</f>
        <v/>
      </c>
      <c r="D9" s="30">
        <f>SUMIFS(Planejado!$L$5:$L$25,Planejado!$B$5:$B$25,"TI")</f>
        <v/>
      </c>
      <c r="E9" s="30">
        <f>SUMIFS(Realizado!$L$5:$L$25,Realizado!$B$5:$B$25,"TI")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SUMIFS(Planejado!$M$5:$M$25,Planejado!$B$5:$B$25,"Jurídico")</f>
        <v/>
      </c>
      <c r="C10" s="36">
        <f>SUMIFS(Realizado!$M$5:$M$25,Realizado!$B$5:$B$25,"Jurídico")</f>
        <v/>
      </c>
      <c r="D10" s="36">
        <f>SUMIFS(Planejado!$M$5:$M$25,Planejado!$B$5:$B$25,"TI")</f>
        <v/>
      </c>
      <c r="E10" s="36">
        <f>SUMIFS(Realizado!$M$5:$M$25,Realizado!$B$5:$B$25,"TI")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SUMIFS(Planejado!$N$5:$N$25,Planejado!$B$5:$B$25,"Jurídico")</f>
        <v/>
      </c>
      <c r="C11" s="30">
        <f>SUMIFS(Realizado!$N$5:$N$25,Realizado!$B$5:$B$25,"Jurídico")</f>
        <v/>
      </c>
      <c r="D11" s="30">
        <f>SUMIFS(Planejado!$N$5:$N$25,Planejado!$B$5:$B$25,"TI")</f>
        <v/>
      </c>
      <c r="E11" s="30">
        <f>SUMIFS(Realizado!$N$5:$N$25,Realizado!$B$5:$B$25,"TI")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SUMIFS(Planejado!$O$5:$O$25,Planejado!$B$5:$B$25,"Jurídico")</f>
        <v/>
      </c>
      <c r="C12" s="36">
        <f>SUMIFS(Realizado!$O$5:$O$25,Realizado!$B$5:$B$25,"Jurídico")</f>
        <v/>
      </c>
      <c r="D12" s="36">
        <f>SUMIFS(Planejado!$O$5:$O$25,Planejado!$B$5:$B$25,"TI")</f>
        <v/>
      </c>
      <c r="E12" s="36">
        <f>SUMIFS(Realizado!$O$5:$O$25,Realizado!$B$5:$B$25,"TI")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SUMIFS(Planejado!$P$5:$P$25,Planejado!$B$5:$B$25,"Jurídico")</f>
        <v/>
      </c>
      <c r="C13" s="30">
        <f>SUMIFS(Realizado!$P$5:$P$25,Realizado!$B$5:$B$25,"Jurídico")</f>
        <v/>
      </c>
      <c r="D13" s="30">
        <f>SUMIFS(Planejado!$P$5:$P$25,Planejado!$B$5:$B$25,"TI")</f>
        <v/>
      </c>
      <c r="E13" s="30">
        <f>SUMIFS(Realizado!$P$5:$P$25,Realizado!$B$5:$B$25,"TI")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SUMIFS(Planejado!$Q$5:$Q$25,Planejado!$B$5:$B$25,"Jurídico")</f>
        <v/>
      </c>
      <c r="C14" s="36">
        <f>SUMIFS(Realizado!$Q$5:$Q$25,Realizado!$B$5:$B$25,"Jurídico")</f>
        <v/>
      </c>
      <c r="D14" s="36">
        <f>SUMIFS(Planejado!$Q$5:$Q$25,Planejado!$B$5:$B$25,"TI")</f>
        <v/>
      </c>
      <c r="E14" s="36">
        <f>SUMIFS(Realizado!$Q$5:$Q$25,Realizado!$B$5:$B$25,"TI")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SUMIFS(Planejado!$R$5:$R$25,Planejado!$B$5:$B$25,"Jurídico")</f>
        <v/>
      </c>
      <c r="C15" s="30">
        <f>SUMIFS(Realizado!$R$5:$R$25,Realizado!$B$5:$B$25,"Jurídico")</f>
        <v/>
      </c>
      <c r="D15" s="30">
        <f>SUMIFS(Planejado!$R$5:$R$25,Planejado!$B$5:$B$25,"TI")</f>
        <v/>
      </c>
      <c r="E15" s="30">
        <f>SUMIFS(Realizado!$R$5:$R$25,Realizado!$B$5:$B$25,"TI")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SUMIFS(Planejado!$S$5:$S$25,Planejado!$B$5:$B$25,"Jurídico")</f>
        <v/>
      </c>
      <c r="C16" s="36">
        <f>SUMIFS(Realizado!$S$5:$S$25,Realizado!$B$5:$B$25,"Jurídico")</f>
        <v/>
      </c>
      <c r="D16" s="36">
        <f>SUMIFS(Planejado!$S$5:$S$25,Planejado!$B$5:$B$25,"TI")</f>
        <v/>
      </c>
      <c r="E16" s="36">
        <f>SUMIFS(Realizado!$S$5:$S$25,Realizado!$B$5:$B$25,"TI")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SUMIFS(Comparativo!$I$6:$I$26,Comparativo!$E$6:$E$26,$A5,Comparativo!$B$6:$B$26,"Jurídico")</f>
        <v/>
      </c>
      <c r="C5" s="30">
        <f>SUMIFS(Comparativo!$J$6:$J$26,Comparativo!$E$6:$E$26,$A5,Comparativo!$B$6:$B$26,"Jurídico")</f>
        <v/>
      </c>
      <c r="D5" s="30">
        <f>SUMIFS(Comparativo!$I$6:$I$26,Comparativo!$E$6:$E$26,$A5,Comparativo!$B$6:$B$26,"TI")</f>
        <v/>
      </c>
      <c r="E5" s="30">
        <f>SUMIFS(Comparativo!$J$6:$J$26,Comparativo!$E$6:$E$26,$A5,Comparativo!$B$6:$B$26,"TI")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SUMIFS(Planejado!$T$5:$T$25,Planejado!$G$5:$G$25,$A5)</f>
        <v/>
      </c>
    </row>
    <row r="6" ht="20" customHeight="1">
      <c r="A6" s="53" t="inlineStr">
        <is>
          <t>Pessoal - PJ</t>
        </is>
      </c>
      <c r="B6" s="36">
        <f>SUMIFS(Comparativo!$I$6:$I$26,Comparativo!$E$6:$E$26,$A6,Comparativo!$B$6:$B$26,"Jurídico")</f>
        <v/>
      </c>
      <c r="C6" s="36">
        <f>SUMIFS(Comparativo!$J$6:$J$26,Comparativo!$E$6:$E$26,$A6,Comparativo!$B$6:$B$26,"Jurídico")</f>
        <v/>
      </c>
      <c r="D6" s="36">
        <f>SUMIFS(Comparativo!$I$6:$I$26,Comparativo!$E$6:$E$26,$A6,Comparativo!$B$6:$B$26,"TI")</f>
        <v/>
      </c>
      <c r="E6" s="36">
        <f>SUMIFS(Comparativo!$J$6:$J$26,Comparativo!$E$6:$E$26,$A6,Comparativo!$B$6:$B$26,"TI")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SUMIFS(Planejado!$T$5:$T$25,Planejado!$G$5:$G$25,$A6)</f>
        <v/>
      </c>
    </row>
    <row r="7" ht="20" customHeight="1">
      <c r="A7" s="51" t="inlineStr">
        <is>
          <t>Licenças de Softwares</t>
        </is>
      </c>
      <c r="B7" s="30">
        <f>SUMIFS(Comparativo!$I$6:$I$26,Comparativo!$E$6:$E$26,$A7,Comparativo!$B$6:$B$26,"Jurídico")</f>
        <v/>
      </c>
      <c r="C7" s="30">
        <f>SUMIFS(Comparativo!$J$6:$J$26,Comparativo!$E$6:$E$26,$A7,Comparativo!$B$6:$B$26,"Jurídico")</f>
        <v/>
      </c>
      <c r="D7" s="30">
        <f>SUMIFS(Comparativo!$I$6:$I$26,Comparativo!$E$6:$E$26,$A7,Comparativo!$B$6:$B$26,"TI")</f>
        <v/>
      </c>
      <c r="E7" s="30">
        <f>SUMIFS(Comparativo!$J$6:$J$26,Comparativo!$E$6:$E$26,$A7,Comparativo!$B$6:$B$26,"TI")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SUMIFS(Planejado!$T$5:$T$25,Planejado!$G$5:$G$25,$A7)</f>
        <v/>
      </c>
    </row>
    <row r="8" ht="20" customHeight="1">
      <c r="A8" s="53" t="inlineStr">
        <is>
          <t>Custeio de Treinamento</t>
        </is>
      </c>
      <c r="B8" s="36">
        <f>SUMIFS(Comparativo!$I$6:$I$26,Comparativo!$E$6:$E$26,$A8,Comparativo!$B$6:$B$26,"Jurídico")</f>
        <v/>
      </c>
      <c r="C8" s="36">
        <f>SUMIFS(Comparativo!$J$6:$J$26,Comparativo!$E$6:$E$26,$A8,Comparativo!$B$6:$B$26,"Jurídico")</f>
        <v/>
      </c>
      <c r="D8" s="36">
        <f>SUMIFS(Comparativo!$I$6:$I$26,Comparativo!$E$6:$E$26,$A8,Comparativo!$B$6:$B$26,"TI")</f>
        <v/>
      </c>
      <c r="E8" s="36">
        <f>SUMIFS(Comparativo!$J$6:$J$26,Comparativo!$E$6:$E$26,$A8,Comparativo!$B$6:$B$26,"TI")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SUMIFS(Planejado!$T$5:$T$25,Planejado!$G$5:$G$25,$A8)</f>
        <v/>
      </c>
    </row>
    <row r="9" ht="20" customHeight="1">
      <c r="A9" s="51" t="inlineStr">
        <is>
          <t>Prêmios</t>
        </is>
      </c>
      <c r="B9" s="30">
        <f>SUMIFS(Comparativo!$I$6:$I$26,Comparativo!$E$6:$E$26,$A9,Comparativo!$B$6:$B$26,"Jurídico")</f>
        <v/>
      </c>
      <c r="C9" s="30">
        <f>SUMIFS(Comparativo!$J$6:$J$26,Comparativo!$E$6:$E$26,$A9,Comparativo!$B$6:$B$26,"Jurídico")</f>
        <v/>
      </c>
      <c r="D9" s="30">
        <f>SUMIFS(Comparativo!$I$6:$I$26,Comparativo!$E$6:$E$26,$A9,Comparativo!$B$6:$B$26,"TI")</f>
        <v/>
      </c>
      <c r="E9" s="30">
        <f>SUMIFS(Comparativo!$J$6:$J$26,Comparativo!$E$6:$E$26,$A9,Comparativo!$B$6:$B$26,"TI")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SUMIFS(Planejado!$T$5:$T$25,Planejado!$G$5:$G$25,$A9)</f>
        <v/>
      </c>
    </row>
    <row r="10" ht="20" customHeight="1">
      <c r="A10" s="53" t="inlineStr">
        <is>
          <t>Equipamentos Eletrônicos Diversos</t>
        </is>
      </c>
      <c r="B10" s="36">
        <f>SUMIFS(Comparativo!$I$6:$I$26,Comparativo!$E$6:$E$26,$A10,Comparativo!$B$6:$B$26,"Jurídico")</f>
        <v/>
      </c>
      <c r="C10" s="36">
        <f>SUMIFS(Comparativo!$J$6:$J$26,Comparativo!$E$6:$E$26,$A10,Comparativo!$B$6:$B$26,"Jurídico")</f>
        <v/>
      </c>
      <c r="D10" s="36">
        <f>SUMIFS(Comparativo!$I$6:$I$26,Comparativo!$E$6:$E$26,$A10,Comparativo!$B$6:$B$26,"TI")</f>
        <v/>
      </c>
      <c r="E10" s="36">
        <f>SUMIFS(Comparativo!$J$6:$J$26,Comparativo!$E$6:$E$26,$A10,Comparativo!$B$6:$B$26,"TI")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SUMIFS(Planejado!$T$5:$T$25,Planejado!$G$5:$G$25,$A10)</f>
        <v/>
      </c>
    </row>
    <row r="11" ht="20" customHeight="1">
      <c r="A11" s="51" t="inlineStr">
        <is>
          <t>Móveis e Utensílios</t>
        </is>
      </c>
      <c r="B11" s="30">
        <f>SUMIFS(Comparativo!$I$6:$I$26,Comparativo!$E$6:$E$26,$A11,Comparativo!$B$6:$B$26,"Jurídico")</f>
        <v/>
      </c>
      <c r="C11" s="30">
        <f>SUMIFS(Comparativo!$J$6:$J$26,Comparativo!$E$6:$E$26,$A11,Comparativo!$B$6:$B$26,"Jurídico")</f>
        <v/>
      </c>
      <c r="D11" s="30">
        <f>SUMIFS(Comparativo!$I$6:$I$26,Comparativo!$E$6:$E$26,$A11,Comparativo!$B$6:$B$26,"TI")</f>
        <v/>
      </c>
      <c r="E11" s="30">
        <f>SUMIFS(Comparativo!$J$6:$J$26,Comparativo!$E$6:$E$26,$A11,Comparativo!$B$6:$B$26,"TI")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SUMIFS(Planejado!$T$5:$T$25,Planejado!$G$5:$G$25,$A11)</f>
        <v/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6">
        <f>SUM(F5:F11)</f>
        <v/>
      </c>
      <c r="G12" s="16">
        <f>SUM(G5:G11)</f>
        <v/>
      </c>
      <c r="H12" s="16">
        <f>SUM(H5:H11)</f>
        <v/>
      </c>
      <c r="I12" s="17">
        <f>IFERROR(H12/F12,"")</f>
        <v/>
      </c>
      <c r="J12" s="16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Custo total da Geovanna — A LANÇAR</t>
        </is>
      </c>
      <c r="C5" s="56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6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6" t="inlineStr">
        <is>
          <t>Cristiane + RH</t>
        </is>
      </c>
      <c r="F5" s="57" t="inlineStr">
        <is>
          <t>A LANÇAR</t>
        </is>
      </c>
    </row>
    <row r="6" ht="58" customHeight="1">
      <c r="A6" s="58" t="inlineStr">
        <is>
          <t>B</t>
        </is>
      </c>
      <c r="B6" s="59" t="inlineStr">
        <is>
          <t>Custo total do Vinicius — A LANÇAR</t>
        </is>
      </c>
      <c r="C6" s="59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59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59" t="inlineStr">
        <is>
          <t>Cristiane + RH</t>
        </is>
      </c>
      <c r="F6" s="57" t="inlineStr">
        <is>
          <t>A LANÇAR</t>
        </is>
      </c>
    </row>
    <row r="7" ht="58" customHeight="1">
      <c r="A7" s="55" t="inlineStr">
        <is>
          <t>C</t>
        </is>
      </c>
      <c r="B7" s="56" t="inlineStr">
        <is>
          <t>Reajuste da Thamar — revisão orçamentária</t>
        </is>
      </c>
      <c r="C7" s="56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7" s="56" t="inlineStr">
        <is>
          <t>Desvio já incorrido de R$ 500/mês. Ao contrário do aumento do Vinicius, este estourou o orçado: não havia folga na linha dela.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2026-08-06T10:40:00Z</dcterms:created>
  <dcterms:modified xsi:type="dcterms:W3CDTF">2026-08-06T10:40:00Z</dcterms:modified>
</cp:coreProperties>
</file>