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</sheets>
  <definedNames>
    <definedName name="_xlnm._FilterDatabase" localSheetId="1" hidden="1">'Comparativo'!$A$5:$N$17</definedName>
    <definedName name="_xlnm._FilterDatabase" localSheetId="2" hidden="1">'Planejado'!$A$4:$T$16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18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1"/>
    </font>
    <font>
      <sz val="10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FFFF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8" borderId="1" pivotButton="0" quotePrefix="0" xfId="0"/>
    <xf numFmtId="164" fontId="14" fillId="8" borderId="1" pivotButton="0" quotePrefix="0" xfId="0"/>
    <xf numFmtId="165" fontId="14" fillId="8" borderId="1" applyAlignment="1" pivotButton="0" quotePrefix="0" xfId="0">
      <alignment horizontal="center"/>
    </xf>
    <xf numFmtId="0" fontId="14" fillId="8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16" fillId="3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0" fontId="10" fillId="7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164" fontId="4" fillId="7" borderId="1" pivotButton="0" quotePrefix="0" xfId="0"/>
    <xf numFmtId="0" fontId="8" fillId="7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8" borderId="1" applyAlignment="1" pivotButton="0" quotePrefix="0" xfId="0">
      <alignment horizontal="center"/>
    </xf>
    <xf numFmtId="164" fontId="4" fillId="8" borderId="1" pivotButton="0" quotePrefix="0" xfId="0"/>
    <xf numFmtId="0" fontId="4" fillId="4" borderId="1" applyAlignment="1" pivotButton="0" quotePrefix="0" xfId="0">
      <alignment horizontal="center"/>
    </xf>
    <xf numFmtId="0" fontId="4" fillId="8" borderId="1" pivotButton="0" quotePrefix="0" xfId="0"/>
    <xf numFmtId="165" fontId="4" fillId="8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8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left" vertical="top" wrapText="1"/>
    </xf>
    <xf numFmtId="0" fontId="5" fillId="9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center" vertical="top" wrapText="1"/>
    </xf>
    <xf numFmtId="0" fontId="5" fillId="11" borderId="1" applyAlignment="1" pivotButton="0" quotePrefix="0" xfId="0">
      <alignment horizontal="center" vertical="top" wrapText="1"/>
    </xf>
    <xf numFmtId="0" fontId="5" fillId="1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17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do ano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TI</t>
        </is>
      </c>
      <c r="B6" s="7" t="inlineStr">
        <is>
          <t>Equipe</t>
        </is>
      </c>
      <c r="C6" s="8">
        <f>SUMIFS(Planejado!$T$5:$T$16,Planejado!$B$5:$B$16,"TI",Planejado!$C$5:$C$16,"Equipe")</f>
        <v/>
      </c>
      <c r="D6" s="8">
        <f>SUMIFS(Comparativo!$I$6:$I$17,Comparativo!$B$6:$B$17,"TI",Comparativo!$C$6:$C$17,"Equipe")</f>
        <v/>
      </c>
      <c r="E6" s="8">
        <f>SUMIFS(Comparativo!$J$6:$J$17,Comparativo!$B$6:$B$17,"TI",Comparativo!$C$6:$C$17,"Equipe")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COUNTIFS(Comparativo!$P$6:$P$17,"&gt;0",Comparativo!$B$6:$B$17,"TI",Comparativo!$C$6:$C$17,"Equipe")&amp;" de "&amp;COUNTIFS(Comparativo!$A$6:$A$17,"?*",Comparativo!$B$6:$B$17,"TI",Comparativo!$C$6:$C$17,"Equipe")</f>
        <v/>
      </c>
    </row>
    <row r="7" ht="22" customHeight="1">
      <c r="A7" s="7" t="inlineStr">
        <is>
          <t>TI</t>
        </is>
      </c>
      <c r="B7" s="7" t="inlineStr">
        <is>
          <t>Despesas</t>
        </is>
      </c>
      <c r="C7" s="8">
        <f>SUMIFS(Planejado!$T$5:$T$16,Planejado!$B$5:$B$16,"TI",Planejado!$C$5:$C$16,"Despesas")</f>
        <v/>
      </c>
      <c r="D7" s="8">
        <f>SUMIFS(Comparativo!$I$6:$I$17,Comparativo!$B$6:$B$17,"TI",Comparativo!$C$6:$C$17,"Despesas")</f>
        <v/>
      </c>
      <c r="E7" s="8">
        <f>SUMIFS(Comparativo!$J$6:$J$17,Comparativo!$B$6:$B$17,"TI",Comparativo!$C$6:$C$17,"Despesas")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COUNTIFS(Comparativo!$P$6:$P$17,"&gt;0",Comparativo!$B$6:$B$17,"TI",Comparativo!$C$6:$C$17,"Despesas")&amp;" de "&amp;COUNTIFS(Comparativo!$A$6:$A$17,"?*",Comparativo!$B$6:$B$17,"TI",Comparativo!$C$6:$C$17,"Despesas")</f>
        <v/>
      </c>
    </row>
    <row r="8" ht="22" customHeight="1">
      <c r="A8" s="11" t="inlineStr">
        <is>
          <t>TI</t>
        </is>
      </c>
      <c r="B8" s="11" t="inlineStr">
        <is>
          <t>Equipe + Despesas</t>
        </is>
      </c>
      <c r="C8" s="12">
        <f>SUMIFS(Planejado!$T$5:$T$16,Planejado!$B$5:$B$16,"TI")</f>
        <v/>
      </c>
      <c r="D8" s="12">
        <f>SUMIFS(Comparativo!$I$6:$I$17,Comparativo!$B$6:$B$17,"TI")</f>
        <v/>
      </c>
      <c r="E8" s="12">
        <f>SUMIFS(Comparativo!$J$6:$J$17,Comparativo!$B$6:$B$17,"TI")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COUNTIFS(Comparativo!$P$6:$P$17,"&gt;0",Comparativo!$B$6:$B$17,"TI")&amp;" de "&amp;COUNTIFS(Comparativo!$A$6:$A$17,"?*",Comparativo!$B$6:$B$17,"TI")</f>
        <v/>
      </c>
    </row>
    <row r="11" ht="22" customHeight="1">
      <c r="A11" s="15" t="inlineStr">
        <is>
          <t>MAIORES DESVIOS DO ACUMULADO (top 5 acima do orçado)</t>
        </is>
      </c>
    </row>
    <row r="12" ht="30" customHeight="1">
      <c r="A12" s="6" t="inlineStr">
        <is>
          <t>#</t>
        </is>
      </c>
      <c r="B12" s="6" t="inlineStr">
        <is>
          <t>Item</t>
        </is>
      </c>
      <c r="C12" s="6" t="inlineStr">
        <is>
          <t>Departamento</t>
        </is>
      </c>
      <c r="D12" s="6" t="inlineStr">
        <is>
          <t>Planejado acum.</t>
        </is>
      </c>
      <c r="E12" s="6" t="inlineStr">
        <is>
          <t>Realizado acum.</t>
        </is>
      </c>
      <c r="F12" s="6" t="inlineStr">
        <is>
          <t>Desvio (R$)</t>
        </is>
      </c>
      <c r="G12" s="6" t="inlineStr">
        <is>
          <t>Desvio (%)</t>
        </is>
      </c>
      <c r="H12" s="6" t="inlineStr"/>
    </row>
    <row r="13">
      <c r="A13" s="16" t="n">
        <v>1</v>
      </c>
      <c r="B13" s="17">
        <f>IFERROR(INDEX(Comparativo!$D$6:$D$17,MATCH(LARGE(Comparativo!$O$6:$O$17,A13),Comparativo!$O$6:$O$17,0)),"")</f>
        <v/>
      </c>
      <c r="C13" s="17">
        <f>IFERROR(INDEX(Comparativo!$B$6:$B$17,MATCH(LARGE(Comparativo!$O$6:$O$17,A13),Comparativo!$O$6:$O$17,0)),"")</f>
        <v/>
      </c>
      <c r="D13" s="18">
        <f>IFERROR(INDEX(Comparativo!$I$6:$I$17,MATCH(LARGE(Comparativo!$O$6:$O$17,A13),Comparativo!$O$6:$O$17,0)),"")</f>
        <v/>
      </c>
      <c r="E13" s="18">
        <f>IFERROR(INDEX(Comparativo!$J$6:$J$17,MATCH(LARGE(Comparativo!$O$6:$O$17,A13),Comparativo!$O$6:$O$17,0)),"")</f>
        <v/>
      </c>
      <c r="F13" s="18">
        <f>IFERROR(INDEX(Comparativo!$K$6:$K$17,MATCH(LARGE(Comparativo!$O$6:$O$17,A13),Comparativo!$O$6:$O$17,0)),"")</f>
        <v/>
      </c>
      <c r="G13" s="19">
        <f>IFERROR(F13/D13,"")</f>
        <v/>
      </c>
    </row>
    <row r="14">
      <c r="A14" s="16" t="n">
        <v>2</v>
      </c>
      <c r="B14" s="17">
        <f>IFERROR(INDEX(Comparativo!$D$6:$D$17,MATCH(LARGE(Comparativo!$O$6:$O$17,A14),Comparativo!$O$6:$O$17,0)),"")</f>
        <v/>
      </c>
      <c r="C14" s="17">
        <f>IFERROR(INDEX(Comparativo!$B$6:$B$17,MATCH(LARGE(Comparativo!$O$6:$O$17,A14),Comparativo!$O$6:$O$17,0)),"")</f>
        <v/>
      </c>
      <c r="D14" s="18">
        <f>IFERROR(INDEX(Comparativo!$I$6:$I$17,MATCH(LARGE(Comparativo!$O$6:$O$17,A14),Comparativo!$O$6:$O$17,0)),"")</f>
        <v/>
      </c>
      <c r="E14" s="18">
        <f>IFERROR(INDEX(Comparativo!$J$6:$J$17,MATCH(LARGE(Comparativo!$O$6:$O$17,A14),Comparativo!$O$6:$O$17,0)),"")</f>
        <v/>
      </c>
      <c r="F14" s="18">
        <f>IFERROR(INDEX(Comparativo!$K$6:$K$17,MATCH(LARGE(Comparativo!$O$6:$O$17,A14),Comparativo!$O$6:$O$17,0)),"")</f>
        <v/>
      </c>
      <c r="G14" s="19">
        <f>IFERROR(F14/D14,"")</f>
        <v/>
      </c>
    </row>
    <row r="15">
      <c r="A15" s="16" t="n">
        <v>3</v>
      </c>
      <c r="B15" s="17">
        <f>IFERROR(INDEX(Comparativo!$D$6:$D$17,MATCH(LARGE(Comparativo!$O$6:$O$17,A15),Comparativo!$O$6:$O$17,0)),"")</f>
        <v/>
      </c>
      <c r="C15" s="17">
        <f>IFERROR(INDEX(Comparativo!$B$6:$B$17,MATCH(LARGE(Comparativo!$O$6:$O$17,A15),Comparativo!$O$6:$O$17,0)),"")</f>
        <v/>
      </c>
      <c r="D15" s="18">
        <f>IFERROR(INDEX(Comparativo!$I$6:$I$17,MATCH(LARGE(Comparativo!$O$6:$O$17,A15),Comparativo!$O$6:$O$17,0)),"")</f>
        <v/>
      </c>
      <c r="E15" s="18">
        <f>IFERROR(INDEX(Comparativo!$J$6:$J$17,MATCH(LARGE(Comparativo!$O$6:$O$17,A15),Comparativo!$O$6:$O$17,0)),"")</f>
        <v/>
      </c>
      <c r="F15" s="18">
        <f>IFERROR(INDEX(Comparativo!$K$6:$K$17,MATCH(LARGE(Comparativo!$O$6:$O$17,A15),Comparativo!$O$6:$O$17,0)),"")</f>
        <v/>
      </c>
      <c r="G15" s="19">
        <f>IFERROR(F15/D15,"")</f>
        <v/>
      </c>
    </row>
    <row r="16">
      <c r="A16" s="16" t="n">
        <v>4</v>
      </c>
      <c r="B16" s="17">
        <f>IFERROR(INDEX(Comparativo!$D$6:$D$17,MATCH(LARGE(Comparativo!$O$6:$O$17,A16),Comparativo!$O$6:$O$17,0)),"")</f>
        <v/>
      </c>
      <c r="C16" s="17">
        <f>IFERROR(INDEX(Comparativo!$B$6:$B$17,MATCH(LARGE(Comparativo!$O$6:$O$17,A16),Comparativo!$O$6:$O$17,0)),"")</f>
        <v/>
      </c>
      <c r="D16" s="18">
        <f>IFERROR(INDEX(Comparativo!$I$6:$I$17,MATCH(LARGE(Comparativo!$O$6:$O$17,A16),Comparativo!$O$6:$O$17,0)),"")</f>
        <v/>
      </c>
      <c r="E16" s="18">
        <f>IFERROR(INDEX(Comparativo!$J$6:$J$17,MATCH(LARGE(Comparativo!$O$6:$O$17,A16),Comparativo!$O$6:$O$17,0)),"")</f>
        <v/>
      </c>
      <c r="F16" s="18">
        <f>IFERROR(INDEX(Comparativo!$K$6:$K$17,MATCH(LARGE(Comparativo!$O$6:$O$17,A16),Comparativo!$O$6:$O$17,0)),"")</f>
        <v/>
      </c>
      <c r="G16" s="19">
        <f>IFERROR(F16/D16,"")</f>
        <v/>
      </c>
    </row>
    <row r="17">
      <c r="A17" s="16" t="n">
        <v>5</v>
      </c>
      <c r="B17" s="17">
        <f>IFERROR(INDEX(Comparativo!$D$6:$D$17,MATCH(LARGE(Comparativo!$O$6:$O$17,A17),Comparativo!$O$6:$O$17,0)),"")</f>
        <v/>
      </c>
      <c r="C17" s="17">
        <f>IFERROR(INDEX(Comparativo!$B$6:$B$17,MATCH(LARGE(Comparativo!$O$6:$O$17,A17),Comparativo!$O$6:$O$17,0)),"")</f>
        <v/>
      </c>
      <c r="D17" s="18">
        <f>IFERROR(INDEX(Comparativo!$I$6:$I$17,MATCH(LARGE(Comparativo!$O$6:$O$17,A17),Comparativo!$O$6:$O$17,0)),"")</f>
        <v/>
      </c>
      <c r="E17" s="18">
        <f>IFERROR(INDEX(Comparativo!$J$6:$J$17,MATCH(LARGE(Comparativo!$O$6:$O$17,A17),Comparativo!$O$6:$O$17,0)),"")</f>
        <v/>
      </c>
      <c r="F17" s="18">
        <f>IFERROR(INDEX(Comparativo!$K$6:$K$17,MATCH(LARGE(Comparativo!$O$6:$O$17,A17),Comparativo!$O$6:$O$17,0)),"")</f>
        <v/>
      </c>
      <c r="G17" s="19">
        <f>IFERROR(F17/D17,"")</f>
        <v/>
      </c>
    </row>
  </sheetData>
  <mergeCells count="3">
    <mergeCell ref="A1:I1"/>
    <mergeCell ref="A11:H11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20" t="inlineStr">
        <is>
          <t>Jul/26</t>
        </is>
      </c>
      <c r="C3" s="21" t="inlineStr">
        <is>
          <t>Mês nº:</t>
        </is>
      </c>
      <c r="D3" s="22">
        <f>MATCH($B$3,Planejado!$H$4:$S$4,0)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23" t="inlineStr">
        <is>
          <t>(aux ranking)</t>
        </is>
      </c>
      <c r="P5" s="23" t="inlineStr">
        <is>
          <t>(aux meses lançados)</t>
        </is>
      </c>
    </row>
    <row r="6" ht="24" customHeight="1">
      <c r="A6" s="24">
        <f>Planejado!A5</f>
        <v/>
      </c>
      <c r="B6" s="24">
        <f>Planejado!B5</f>
        <v/>
      </c>
      <c r="C6" s="24">
        <f>Planejado!C5</f>
        <v/>
      </c>
      <c r="D6" s="25">
        <f>Planejado!D5</f>
        <v/>
      </c>
      <c r="E6" s="24">
        <f>Planejado!G5</f>
        <v/>
      </c>
      <c r="F6" s="26">
        <f>INDEX(Planejado!$H5:$S5,$D$3)</f>
        <v/>
      </c>
      <c r="G6" s="26">
        <f>INDEX(Realizado!$H5:$S5,$D$3)</f>
        <v/>
      </c>
      <c r="H6" s="26">
        <f>G6-F6</f>
        <v/>
      </c>
      <c r="I6" s="26">
        <f>SUMPRODUCT((COLUMN(Planejado!$H$4:$S$4)-COLUMN(Planejado!$H$4)+1&lt;=$D$3)*Planejado!$H5:$S5)</f>
        <v/>
      </c>
      <c r="J6" s="26">
        <f>SUMPRODUCT((COLUMN(Realizado!$H$4:$S$4)-COLUMN(Realizado!$H$4)+1&lt;=$D$3)*Realizado!$H5:$S5)</f>
        <v/>
      </c>
      <c r="K6" s="26">
        <f>J6-I6</f>
        <v/>
      </c>
      <c r="L6" s="27">
        <f>IFERROR(K6/I6,"")</f>
        <v/>
      </c>
      <c r="M6" s="27">
        <f>IFERROR(J6/I6,"")</f>
        <v/>
      </c>
      <c r="N6" s="28">
        <f>IF(P6=0,"Sem lançamento",IF(AND(I6=0,J6=0),"—",IF(I6=0,"Não orçado",IF(K6&gt;0.05*I6,"Acima do orçado",IF(K6&lt;-0.05*I6,"Abaixo do orçado","Dentro do orçado")))))</f>
        <v/>
      </c>
      <c r="O6" s="23">
        <f>IF(K6&gt;1,K6+ROW()/1000000,"")</f>
        <v/>
      </c>
      <c r="P6" s="29">
        <f>SUMPRODUCT((COLUMN(Realizado!$H$4:$S$4)-COLUMN(Realizado!$H$4)+1&lt;=$D$3)*(Realizado!$H5:$S5&lt;&gt;""))</f>
        <v/>
      </c>
    </row>
    <row r="7" ht="24" customHeight="1">
      <c r="A7" s="24">
        <f>Planejado!A6</f>
        <v/>
      </c>
      <c r="B7" s="24">
        <f>Planejado!B6</f>
        <v/>
      </c>
      <c r="C7" s="24">
        <f>Planejado!C6</f>
        <v/>
      </c>
      <c r="D7" s="25">
        <f>Planejado!D6</f>
        <v/>
      </c>
      <c r="E7" s="24">
        <f>Planejado!G6</f>
        <v/>
      </c>
      <c r="F7" s="26">
        <f>INDEX(Planejado!$H6:$S6,$D$3)</f>
        <v/>
      </c>
      <c r="G7" s="26">
        <f>INDEX(Realizado!$H6:$S6,$D$3)</f>
        <v/>
      </c>
      <c r="H7" s="26">
        <f>G7-F7</f>
        <v/>
      </c>
      <c r="I7" s="26">
        <f>SUMPRODUCT((COLUMN(Planejado!$H$4:$S$4)-COLUMN(Planejado!$H$4)+1&lt;=$D$3)*Planejado!$H6:$S6)</f>
        <v/>
      </c>
      <c r="J7" s="26">
        <f>SUMPRODUCT((COLUMN(Realizado!$H$4:$S$4)-COLUMN(Realizado!$H$4)+1&lt;=$D$3)*Realizado!$H6:$S6)</f>
        <v/>
      </c>
      <c r="K7" s="26">
        <f>J7-I7</f>
        <v/>
      </c>
      <c r="L7" s="27">
        <f>IFERROR(K7/I7,"")</f>
        <v/>
      </c>
      <c r="M7" s="27">
        <f>IFERROR(J7/I7,"")</f>
        <v/>
      </c>
      <c r="N7" s="28">
        <f>IF(P7=0,"Sem lançamento",IF(AND(I7=0,J7=0),"—",IF(I7=0,"Não orçado",IF(K7&gt;0.05*I7,"Acima do orçado",IF(K7&lt;-0.05*I7,"Abaixo do orçado","Dentro do orçado")))))</f>
        <v/>
      </c>
      <c r="O7" s="23">
        <f>IF(K7&gt;1,K7+ROW()/1000000,"")</f>
        <v/>
      </c>
      <c r="P7" s="29">
        <f>SUMPRODUCT((COLUMN(Realizado!$H$4:$S$4)-COLUMN(Realizado!$H$4)+1&lt;=$D$3)*(Realizado!$H6:$S6&lt;&gt;""))</f>
        <v/>
      </c>
    </row>
    <row r="8" ht="24" customHeight="1">
      <c r="A8" s="24">
        <f>Planejado!A7</f>
        <v/>
      </c>
      <c r="B8" s="24">
        <f>Planejado!B7</f>
        <v/>
      </c>
      <c r="C8" s="24">
        <f>Planejado!C7</f>
        <v/>
      </c>
      <c r="D8" s="25">
        <f>Planejado!D7</f>
        <v/>
      </c>
      <c r="E8" s="24">
        <f>Planejado!G7</f>
        <v/>
      </c>
      <c r="F8" s="26">
        <f>INDEX(Planejado!$H7:$S7,$D$3)</f>
        <v/>
      </c>
      <c r="G8" s="26">
        <f>INDEX(Realizado!$H7:$S7,$D$3)</f>
        <v/>
      </c>
      <c r="H8" s="26">
        <f>G8-F8</f>
        <v/>
      </c>
      <c r="I8" s="26">
        <f>SUMPRODUCT((COLUMN(Planejado!$H$4:$S$4)-COLUMN(Planejado!$H$4)+1&lt;=$D$3)*Planejado!$H7:$S7)</f>
        <v/>
      </c>
      <c r="J8" s="26">
        <f>SUMPRODUCT((COLUMN(Realizado!$H$4:$S$4)-COLUMN(Realizado!$H$4)+1&lt;=$D$3)*Realizado!$H7:$S7)</f>
        <v/>
      </c>
      <c r="K8" s="26">
        <f>J8-I8</f>
        <v/>
      </c>
      <c r="L8" s="27">
        <f>IFERROR(K8/I8,"")</f>
        <v/>
      </c>
      <c r="M8" s="27">
        <f>IFERROR(J8/I8,"")</f>
        <v/>
      </c>
      <c r="N8" s="28">
        <f>IF(P8=0,"Sem lançamento",IF(AND(I8=0,J8=0),"—",IF(I8=0,"Não orçado",IF(K8&gt;0.05*I8,"Acima do orçado",IF(K8&lt;-0.05*I8,"Abaixo do orçado","Dentro do orçado")))))</f>
        <v/>
      </c>
      <c r="O8" s="23">
        <f>IF(K8&gt;1,K8+ROW()/1000000,"")</f>
        <v/>
      </c>
      <c r="P8" s="29">
        <f>SUMPRODUCT((COLUMN(Realizado!$H$4:$S$4)-COLUMN(Realizado!$H$4)+1&lt;=$D$3)*(Realizado!$H7:$S7&lt;&gt;""))</f>
        <v/>
      </c>
    </row>
    <row r="9" ht="24" customHeight="1">
      <c r="A9" s="24">
        <f>Planejado!A8</f>
        <v/>
      </c>
      <c r="B9" s="24">
        <f>Planejado!B8</f>
        <v/>
      </c>
      <c r="C9" s="24">
        <f>Planejado!C8</f>
        <v/>
      </c>
      <c r="D9" s="25">
        <f>Planejado!D8</f>
        <v/>
      </c>
      <c r="E9" s="24">
        <f>Planejado!G8</f>
        <v/>
      </c>
      <c r="F9" s="26">
        <f>INDEX(Planejado!$H8:$S8,$D$3)</f>
        <v/>
      </c>
      <c r="G9" s="26">
        <f>INDEX(Realizado!$H8:$S8,$D$3)</f>
        <v/>
      </c>
      <c r="H9" s="26">
        <f>G9-F9</f>
        <v/>
      </c>
      <c r="I9" s="26">
        <f>SUMPRODUCT((COLUMN(Planejado!$H$4:$S$4)-COLUMN(Planejado!$H$4)+1&lt;=$D$3)*Planejado!$H8:$S8)</f>
        <v/>
      </c>
      <c r="J9" s="26">
        <f>SUMPRODUCT((COLUMN(Realizado!$H$4:$S$4)-COLUMN(Realizado!$H$4)+1&lt;=$D$3)*Realizado!$H8:$S8)</f>
        <v/>
      </c>
      <c r="K9" s="26">
        <f>J9-I9</f>
        <v/>
      </c>
      <c r="L9" s="27">
        <f>IFERROR(K9/I9,"")</f>
        <v/>
      </c>
      <c r="M9" s="27">
        <f>IFERROR(J9/I9,"")</f>
        <v/>
      </c>
      <c r="N9" s="28">
        <f>IF(P9=0,"Sem lançamento",IF(AND(I9=0,J9=0),"—",IF(I9=0,"Não orçado",IF(K9&gt;0.05*I9,"Acima do orçado",IF(K9&lt;-0.05*I9,"Abaixo do orçado","Dentro do orçado")))))</f>
        <v/>
      </c>
      <c r="O9" s="23">
        <f>IF(K9&gt;1,K9+ROW()/1000000,"")</f>
        <v/>
      </c>
      <c r="P9" s="29">
        <f>SUMPRODUCT((COLUMN(Realizado!$H$4:$S$4)-COLUMN(Realizado!$H$4)+1&lt;=$D$3)*(Realizado!$H8:$S8&lt;&gt;""))</f>
        <v/>
      </c>
    </row>
    <row r="10" ht="24" customHeight="1">
      <c r="A10" s="24">
        <f>Planejado!A9</f>
        <v/>
      </c>
      <c r="B10" s="24">
        <f>Planejado!B9</f>
        <v/>
      </c>
      <c r="C10" s="24">
        <f>Planejado!C9</f>
        <v/>
      </c>
      <c r="D10" s="25">
        <f>Planejado!D9</f>
        <v/>
      </c>
      <c r="E10" s="24">
        <f>Planejado!G9</f>
        <v/>
      </c>
      <c r="F10" s="26">
        <f>INDEX(Planejado!$H9:$S9,$D$3)</f>
        <v/>
      </c>
      <c r="G10" s="26">
        <f>INDEX(Realizado!$H9:$S9,$D$3)</f>
        <v/>
      </c>
      <c r="H10" s="26">
        <f>G10-F10</f>
        <v/>
      </c>
      <c r="I10" s="26">
        <f>SUMPRODUCT((COLUMN(Planejado!$H$4:$S$4)-COLUMN(Planejado!$H$4)+1&lt;=$D$3)*Planejado!$H9:$S9)</f>
        <v/>
      </c>
      <c r="J10" s="26">
        <f>SUMPRODUCT((COLUMN(Realizado!$H$4:$S$4)-COLUMN(Realizado!$H$4)+1&lt;=$D$3)*Realizado!$H9:$S9)</f>
        <v/>
      </c>
      <c r="K10" s="26">
        <f>J10-I10</f>
        <v/>
      </c>
      <c r="L10" s="27">
        <f>IFERROR(K10/I10,"")</f>
        <v/>
      </c>
      <c r="M10" s="27">
        <f>IFERROR(J10/I10,"")</f>
        <v/>
      </c>
      <c r="N10" s="28">
        <f>IF(P10=0,"Sem lançamento",IF(AND(I10=0,J10=0),"—",IF(I10=0,"Não orçado",IF(K10&gt;0.05*I10,"Acima do orçado",IF(K10&lt;-0.05*I10,"Abaixo do orçado","Dentro do orçado")))))</f>
        <v/>
      </c>
      <c r="O10" s="23">
        <f>IF(K10&gt;1,K10+ROW()/1000000,"")</f>
        <v/>
      </c>
      <c r="P10" s="29">
        <f>SUMPRODUCT((COLUMN(Realizado!$H$4:$S$4)-COLUMN(Realizado!$H$4)+1&lt;=$D$3)*(Realizado!$H9:$S9&lt;&gt;""))</f>
        <v/>
      </c>
    </row>
    <row r="11" ht="24" customHeight="1">
      <c r="A11" s="24">
        <f>Planejado!A10</f>
        <v/>
      </c>
      <c r="B11" s="24">
        <f>Planejado!B10</f>
        <v/>
      </c>
      <c r="C11" s="24">
        <f>Planejado!C10</f>
        <v/>
      </c>
      <c r="D11" s="25">
        <f>Planejado!D10</f>
        <v/>
      </c>
      <c r="E11" s="24">
        <f>Planejado!G10</f>
        <v/>
      </c>
      <c r="F11" s="26">
        <f>INDEX(Planejado!$H10:$S10,$D$3)</f>
        <v/>
      </c>
      <c r="G11" s="26">
        <f>INDEX(Realizado!$H10:$S10,$D$3)</f>
        <v/>
      </c>
      <c r="H11" s="26">
        <f>G11-F11</f>
        <v/>
      </c>
      <c r="I11" s="26">
        <f>SUMPRODUCT((COLUMN(Planejado!$H$4:$S$4)-COLUMN(Planejado!$H$4)+1&lt;=$D$3)*Planejado!$H10:$S10)</f>
        <v/>
      </c>
      <c r="J11" s="26">
        <f>SUMPRODUCT((COLUMN(Realizado!$H$4:$S$4)-COLUMN(Realizado!$H$4)+1&lt;=$D$3)*Realizado!$H10:$S10)</f>
        <v/>
      </c>
      <c r="K11" s="26">
        <f>J11-I11</f>
        <v/>
      </c>
      <c r="L11" s="27">
        <f>IFERROR(K11/I11,"")</f>
        <v/>
      </c>
      <c r="M11" s="27">
        <f>IFERROR(J11/I11,"")</f>
        <v/>
      </c>
      <c r="N11" s="28">
        <f>IF(P11=0,"Sem lançamento",IF(AND(I11=0,J11=0),"—",IF(I11=0,"Não orçado",IF(K11&gt;0.05*I11,"Acima do orçado",IF(K11&lt;-0.05*I11,"Abaixo do orçado","Dentro do orçado")))))</f>
        <v/>
      </c>
      <c r="O11" s="23">
        <f>IF(K11&gt;1,K11+ROW()/1000000,"")</f>
        <v/>
      </c>
      <c r="P11" s="29">
        <f>SUMPRODUCT((COLUMN(Realizado!$H$4:$S$4)-COLUMN(Realizado!$H$4)+1&lt;=$D$3)*(Realizado!$H10:$S10&lt;&gt;""))</f>
        <v/>
      </c>
    </row>
    <row r="12" ht="24" customHeight="1">
      <c r="A12" s="24">
        <f>Planejado!A11</f>
        <v/>
      </c>
      <c r="B12" s="24">
        <f>Planejado!B11</f>
        <v/>
      </c>
      <c r="C12" s="24">
        <f>Planejado!C11</f>
        <v/>
      </c>
      <c r="D12" s="25">
        <f>Planejado!D11</f>
        <v/>
      </c>
      <c r="E12" s="24">
        <f>Planejado!G11</f>
        <v/>
      </c>
      <c r="F12" s="26">
        <f>INDEX(Planejado!$H11:$S11,$D$3)</f>
        <v/>
      </c>
      <c r="G12" s="26">
        <f>INDEX(Realizado!$H11:$S11,$D$3)</f>
        <v/>
      </c>
      <c r="H12" s="26">
        <f>G12-F12</f>
        <v/>
      </c>
      <c r="I12" s="26">
        <f>SUMPRODUCT((COLUMN(Planejado!$H$4:$S$4)-COLUMN(Planejado!$H$4)+1&lt;=$D$3)*Planejado!$H11:$S11)</f>
        <v/>
      </c>
      <c r="J12" s="26">
        <f>SUMPRODUCT((COLUMN(Realizado!$H$4:$S$4)-COLUMN(Realizado!$H$4)+1&lt;=$D$3)*Realizado!$H11:$S11)</f>
        <v/>
      </c>
      <c r="K12" s="26">
        <f>J12-I12</f>
        <v/>
      </c>
      <c r="L12" s="27">
        <f>IFERROR(K12/I12,"")</f>
        <v/>
      </c>
      <c r="M12" s="27">
        <f>IFERROR(J12/I12,"")</f>
        <v/>
      </c>
      <c r="N12" s="28">
        <f>IF(P12=0,"Sem lançamento",IF(AND(I12=0,J12=0),"—",IF(I12=0,"Não orçado",IF(K12&gt;0.05*I12,"Acima do orçado",IF(K12&lt;-0.05*I12,"Abaixo do orçado","Dentro do orçado")))))</f>
        <v/>
      </c>
      <c r="O12" s="23">
        <f>IF(K12&gt;1,K12+ROW()/1000000,"")</f>
        <v/>
      </c>
      <c r="P12" s="29">
        <f>SUMPRODUCT((COLUMN(Realizado!$H$4:$S$4)-COLUMN(Realizado!$H$4)+1&lt;=$D$3)*(Realizado!$H11:$S11&lt;&gt;""))</f>
        <v/>
      </c>
    </row>
    <row r="13" ht="24" customHeight="1">
      <c r="A13" s="24">
        <f>Planejado!A12</f>
        <v/>
      </c>
      <c r="B13" s="24">
        <f>Planejado!B12</f>
        <v/>
      </c>
      <c r="C13" s="24">
        <f>Planejado!C12</f>
        <v/>
      </c>
      <c r="D13" s="25">
        <f>Planejado!D12</f>
        <v/>
      </c>
      <c r="E13" s="24">
        <f>Planejado!G12</f>
        <v/>
      </c>
      <c r="F13" s="26">
        <f>INDEX(Planejado!$H12:$S12,$D$3)</f>
        <v/>
      </c>
      <c r="G13" s="26">
        <f>INDEX(Realizado!$H12:$S12,$D$3)</f>
        <v/>
      </c>
      <c r="H13" s="26">
        <f>G13-F13</f>
        <v/>
      </c>
      <c r="I13" s="26">
        <f>SUMPRODUCT((COLUMN(Planejado!$H$4:$S$4)-COLUMN(Planejado!$H$4)+1&lt;=$D$3)*Planejado!$H12:$S12)</f>
        <v/>
      </c>
      <c r="J13" s="26">
        <f>SUMPRODUCT((COLUMN(Realizado!$H$4:$S$4)-COLUMN(Realizado!$H$4)+1&lt;=$D$3)*Realizado!$H12:$S12)</f>
        <v/>
      </c>
      <c r="K13" s="26">
        <f>J13-I13</f>
        <v/>
      </c>
      <c r="L13" s="27">
        <f>IFERROR(K13/I13,"")</f>
        <v/>
      </c>
      <c r="M13" s="27">
        <f>IFERROR(J13/I13,"")</f>
        <v/>
      </c>
      <c r="N13" s="28">
        <f>IF(P13=0,"Sem lançamento",IF(AND(I13=0,J13=0),"—",IF(I13=0,"Não orçado",IF(K13&gt;0.05*I13,"Acima do orçado",IF(K13&lt;-0.05*I13,"Abaixo do orçado","Dentro do orçado")))))</f>
        <v/>
      </c>
      <c r="O13" s="23">
        <f>IF(K13&gt;1,K13+ROW()/1000000,"")</f>
        <v/>
      </c>
      <c r="P13" s="29">
        <f>SUMPRODUCT((COLUMN(Realizado!$H$4:$S$4)-COLUMN(Realizado!$H$4)+1&lt;=$D$3)*(Realizado!$H12:$S12&lt;&gt;""))</f>
        <v/>
      </c>
    </row>
    <row r="14" ht="24" customHeight="1">
      <c r="A14" s="24">
        <f>Planejado!A13</f>
        <v/>
      </c>
      <c r="B14" s="24">
        <f>Planejado!B13</f>
        <v/>
      </c>
      <c r="C14" s="24">
        <f>Planejado!C13</f>
        <v/>
      </c>
      <c r="D14" s="25">
        <f>Planejado!D13</f>
        <v/>
      </c>
      <c r="E14" s="24">
        <f>Planejado!G13</f>
        <v/>
      </c>
      <c r="F14" s="26">
        <f>INDEX(Planejado!$H13:$S13,$D$3)</f>
        <v/>
      </c>
      <c r="G14" s="26">
        <f>INDEX(Realizado!$H13:$S13,$D$3)</f>
        <v/>
      </c>
      <c r="H14" s="26">
        <f>G14-F14</f>
        <v/>
      </c>
      <c r="I14" s="26">
        <f>SUMPRODUCT((COLUMN(Planejado!$H$4:$S$4)-COLUMN(Planejado!$H$4)+1&lt;=$D$3)*Planejado!$H13:$S13)</f>
        <v/>
      </c>
      <c r="J14" s="26">
        <f>SUMPRODUCT((COLUMN(Realizado!$H$4:$S$4)-COLUMN(Realizado!$H$4)+1&lt;=$D$3)*Realizado!$H13:$S13)</f>
        <v/>
      </c>
      <c r="K14" s="26">
        <f>J14-I14</f>
        <v/>
      </c>
      <c r="L14" s="27">
        <f>IFERROR(K14/I14,"")</f>
        <v/>
      </c>
      <c r="M14" s="27">
        <f>IFERROR(J14/I14,"")</f>
        <v/>
      </c>
      <c r="N14" s="28">
        <f>IF(P14=0,"Sem lançamento",IF(AND(I14=0,J14=0),"—",IF(I14=0,"Não orçado",IF(K14&gt;0.05*I14,"Acima do orçado",IF(K14&lt;-0.05*I14,"Abaixo do orçado","Dentro do orçado")))))</f>
        <v/>
      </c>
      <c r="O14" s="23">
        <f>IF(K14&gt;1,K14+ROW()/1000000,"")</f>
        <v/>
      </c>
      <c r="P14" s="29">
        <f>SUMPRODUCT((COLUMN(Realizado!$H$4:$S$4)-COLUMN(Realizado!$H$4)+1&lt;=$D$3)*(Realizado!$H13:$S13&lt;&gt;""))</f>
        <v/>
      </c>
    </row>
    <row r="15" ht="24" customHeight="1">
      <c r="A15" s="24">
        <f>Planejado!A14</f>
        <v/>
      </c>
      <c r="B15" s="24">
        <f>Planejado!B14</f>
        <v/>
      </c>
      <c r="C15" s="24">
        <f>Planejado!C14</f>
        <v/>
      </c>
      <c r="D15" s="25">
        <f>Planejado!D14</f>
        <v/>
      </c>
      <c r="E15" s="24">
        <f>Planejado!G14</f>
        <v/>
      </c>
      <c r="F15" s="26">
        <f>INDEX(Planejado!$H14:$S14,$D$3)</f>
        <v/>
      </c>
      <c r="G15" s="26">
        <f>INDEX(Realizado!$H14:$S14,$D$3)</f>
        <v/>
      </c>
      <c r="H15" s="26">
        <f>G15-F15</f>
        <v/>
      </c>
      <c r="I15" s="26">
        <f>SUMPRODUCT((COLUMN(Planejado!$H$4:$S$4)-COLUMN(Planejado!$H$4)+1&lt;=$D$3)*Planejado!$H14:$S14)</f>
        <v/>
      </c>
      <c r="J15" s="26">
        <f>SUMPRODUCT((COLUMN(Realizado!$H$4:$S$4)-COLUMN(Realizado!$H$4)+1&lt;=$D$3)*Realizado!$H14:$S14)</f>
        <v/>
      </c>
      <c r="K15" s="26">
        <f>J15-I15</f>
        <v/>
      </c>
      <c r="L15" s="27">
        <f>IFERROR(K15/I15,"")</f>
        <v/>
      </c>
      <c r="M15" s="27">
        <f>IFERROR(J15/I15,"")</f>
        <v/>
      </c>
      <c r="N15" s="28">
        <f>IF(P15=0,"Sem lançamento",IF(AND(I15=0,J15=0),"—",IF(I15=0,"Não orçado",IF(K15&gt;0.05*I15,"Acima do orçado",IF(K15&lt;-0.05*I15,"Abaixo do orçado","Dentro do orçado")))))</f>
        <v/>
      </c>
      <c r="O15" s="23">
        <f>IF(K15&gt;1,K15+ROW()/1000000,"")</f>
        <v/>
      </c>
      <c r="P15" s="29">
        <f>SUMPRODUCT((COLUMN(Realizado!$H$4:$S$4)-COLUMN(Realizado!$H$4)+1&lt;=$D$3)*(Realizado!$H14:$S14&lt;&gt;""))</f>
        <v/>
      </c>
    </row>
    <row r="16" ht="24" customHeight="1">
      <c r="A16" s="24">
        <f>Planejado!A15</f>
        <v/>
      </c>
      <c r="B16" s="24">
        <f>Planejado!B15</f>
        <v/>
      </c>
      <c r="C16" s="24">
        <f>Planejado!C15</f>
        <v/>
      </c>
      <c r="D16" s="25">
        <f>Planejado!D15</f>
        <v/>
      </c>
      <c r="E16" s="24">
        <f>Planejado!G15</f>
        <v/>
      </c>
      <c r="F16" s="26">
        <f>INDEX(Planejado!$H15:$S15,$D$3)</f>
        <v/>
      </c>
      <c r="G16" s="26">
        <f>INDEX(Realizado!$H15:$S15,$D$3)</f>
        <v/>
      </c>
      <c r="H16" s="26">
        <f>G16-F16</f>
        <v/>
      </c>
      <c r="I16" s="26">
        <f>SUMPRODUCT((COLUMN(Planejado!$H$4:$S$4)-COLUMN(Planejado!$H$4)+1&lt;=$D$3)*Planejado!$H15:$S15)</f>
        <v/>
      </c>
      <c r="J16" s="26">
        <f>SUMPRODUCT((COLUMN(Realizado!$H$4:$S$4)-COLUMN(Realizado!$H$4)+1&lt;=$D$3)*Realizado!$H15:$S15)</f>
        <v/>
      </c>
      <c r="K16" s="26">
        <f>J16-I16</f>
        <v/>
      </c>
      <c r="L16" s="27">
        <f>IFERROR(K16/I16,"")</f>
        <v/>
      </c>
      <c r="M16" s="27">
        <f>IFERROR(J16/I16,"")</f>
        <v/>
      </c>
      <c r="N16" s="28">
        <f>IF(P16=0,"Sem lançamento",IF(AND(I16=0,J16=0),"—",IF(I16=0,"Não orçado",IF(K16&gt;0.05*I16,"Acima do orçado",IF(K16&lt;-0.05*I16,"Abaixo do orçado","Dentro do orçado")))))</f>
        <v/>
      </c>
      <c r="O16" s="23">
        <f>IF(K16&gt;1,K16+ROW()/1000000,"")</f>
        <v/>
      </c>
      <c r="P16" s="29">
        <f>SUMPRODUCT((COLUMN(Realizado!$H$4:$S$4)-COLUMN(Realizado!$H$4)+1&lt;=$D$3)*(Realizado!$H15:$S15&lt;&gt;""))</f>
        <v/>
      </c>
    </row>
    <row r="17" ht="24" customHeight="1">
      <c r="A17" s="24">
        <f>Planejado!A16</f>
        <v/>
      </c>
      <c r="B17" s="24">
        <f>Planejado!B16</f>
        <v/>
      </c>
      <c r="C17" s="24">
        <f>Planejado!C16</f>
        <v/>
      </c>
      <c r="D17" s="25">
        <f>Planejado!D16</f>
        <v/>
      </c>
      <c r="E17" s="24">
        <f>Planejado!G16</f>
        <v/>
      </c>
      <c r="F17" s="26">
        <f>INDEX(Planejado!$H16:$S16,$D$3)</f>
        <v/>
      </c>
      <c r="G17" s="26">
        <f>INDEX(Realizado!$H16:$S16,$D$3)</f>
        <v/>
      </c>
      <c r="H17" s="26">
        <f>G17-F17</f>
        <v/>
      </c>
      <c r="I17" s="26">
        <f>SUMPRODUCT((COLUMN(Planejado!$H$4:$S$4)-COLUMN(Planejado!$H$4)+1&lt;=$D$3)*Planejado!$H16:$S16)</f>
        <v/>
      </c>
      <c r="J17" s="26">
        <f>SUMPRODUCT((COLUMN(Realizado!$H$4:$S$4)-COLUMN(Realizado!$H$4)+1&lt;=$D$3)*Realizado!$H16:$S16)</f>
        <v/>
      </c>
      <c r="K17" s="26">
        <f>J17-I17</f>
        <v/>
      </c>
      <c r="L17" s="27">
        <f>IFERROR(K17/I17,"")</f>
        <v/>
      </c>
      <c r="M17" s="27">
        <f>IFERROR(J17/I17,"")</f>
        <v/>
      </c>
      <c r="N17" s="28">
        <f>IF(P17=0,"Sem lançamento",IF(AND(I17=0,J17=0),"—",IF(I17=0,"Não orçado",IF(K17&gt;0.05*I17,"Acima do orçado",IF(K17&lt;-0.05*I17,"Abaixo do orçado","Dentro do orçado")))))</f>
        <v/>
      </c>
      <c r="O17" s="23">
        <f>IF(K17&gt;1,K17+ROW()/1000000,"")</f>
        <v/>
      </c>
      <c r="P17" s="29">
        <f>SUMPRODUCT((COLUMN(Realizado!$H$4:$S$4)-COLUMN(Realizado!$H$4)+1&lt;=$D$3)*(Realizado!$H16:$S16&lt;&gt;""))</f>
        <v/>
      </c>
    </row>
    <row r="27">
      <c r="A27" s="30" t="inlineStr">
        <is>
          <t>TOTAL GERAL</t>
        </is>
      </c>
      <c r="B27" s="30" t="n"/>
      <c r="C27" s="30" t="n"/>
      <c r="D27" s="30" t="n"/>
      <c r="E27" s="30" t="n"/>
      <c r="F27" s="31">
        <f>SUM(F6:F17)</f>
        <v/>
      </c>
      <c r="G27" s="31">
        <f>SUM(G6:G17)</f>
        <v/>
      </c>
      <c r="H27" s="31">
        <f>SUM(H6:H17)</f>
        <v/>
      </c>
      <c r="I27" s="31">
        <f>SUM(I6:I17)</f>
        <v/>
      </c>
      <c r="J27" s="31">
        <f>SUM(J6:J17)</f>
        <v/>
      </c>
      <c r="K27" s="31">
        <f>SUM(K6:K17)</f>
        <v/>
      </c>
      <c r="L27" s="32">
        <f>IFERROR(K27/I27,"")</f>
        <v/>
      </c>
      <c r="M27" s="32">
        <f>IFERROR(J27/I27,"")</f>
        <v/>
      </c>
      <c r="N27" s="30" t="n"/>
    </row>
  </sheetData>
  <autoFilter ref="A5:N17"/>
  <mergeCells count="2">
    <mergeCell ref="A2:N2"/>
    <mergeCell ref="A1:N1"/>
  </mergeCells>
  <conditionalFormatting sqref="H6:H1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17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7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Jan/26</t>
        </is>
      </c>
      <c r="I4" s="6" t="inlineStr">
        <is>
          <t>Fev/26</t>
        </is>
      </c>
      <c r="J4" s="6" t="inlineStr">
        <is>
          <t>Mar/26</t>
        </is>
      </c>
      <c r="K4" s="6" t="inlineStr">
        <is>
          <t>Abr/26</t>
        </is>
      </c>
      <c r="L4" s="6" t="inlineStr">
        <is>
          <t>Mai/26</t>
        </is>
      </c>
      <c r="M4" s="6" t="inlineStr">
        <is>
          <t>Jun/26</t>
        </is>
      </c>
      <c r="N4" s="6" t="inlineStr">
        <is>
          <t>Jul/26</t>
        </is>
      </c>
      <c r="O4" s="6" t="inlineStr">
        <is>
          <t>Ago/26</t>
        </is>
      </c>
      <c r="P4" s="6" t="inlineStr">
        <is>
          <t>Set/26</t>
        </is>
      </c>
      <c r="Q4" s="6" t="inlineStr">
        <is>
          <t>Out/26</t>
        </is>
      </c>
      <c r="R4" s="6" t="inlineStr">
        <is>
          <t>Nov/26</t>
        </is>
      </c>
      <c r="S4" s="6" t="inlineStr">
        <is>
          <t>Dez/26</t>
        </is>
      </c>
      <c r="T4" s="6" t="inlineStr">
        <is>
          <t>TOTAL DO ANO</t>
        </is>
      </c>
    </row>
    <row r="5" ht="26" customHeight="1">
      <c r="A5" s="24" t="inlineStr">
        <is>
          <t>TI-E01</t>
        </is>
      </c>
      <c r="B5" s="24" t="inlineStr">
        <is>
          <t>TI</t>
        </is>
      </c>
      <c r="C5" s="24" t="inlineStr">
        <is>
          <t>Equipe</t>
        </is>
      </c>
      <c r="D5" s="25" t="inlineStr">
        <is>
          <t>Vinicius Di Franco</t>
        </is>
      </c>
      <c r="E5" s="25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5" s="24" t="inlineStr">
        <is>
          <t>CLT</t>
        </is>
      </c>
      <c r="G5" s="24" t="inlineStr">
        <is>
          <t>Pessoal - CLT</t>
        </is>
      </c>
      <c r="H5" s="26" t="n">
        <v>5416.525</v>
      </c>
      <c r="I5" s="26" t="n">
        <v>5416.525</v>
      </c>
      <c r="J5" s="26" t="n">
        <v>5416.525</v>
      </c>
      <c r="K5" s="26" t="n">
        <v>5416.525</v>
      </c>
      <c r="L5" s="26" t="n">
        <v>5416.525</v>
      </c>
      <c r="M5" s="26" t="n">
        <v>5416.525</v>
      </c>
      <c r="N5" s="26" t="n">
        <v>5416.525</v>
      </c>
      <c r="O5" s="26" t="n">
        <v>5416.525</v>
      </c>
      <c r="P5" s="26" t="n">
        <v>5416.525</v>
      </c>
      <c r="Q5" s="26" t="n">
        <v>5416.525</v>
      </c>
      <c r="R5" s="26" t="n">
        <v>5416.525</v>
      </c>
      <c r="S5" s="26" t="n">
        <v>5416.525</v>
      </c>
      <c r="T5" s="33">
        <f>SUM(H5:S5)</f>
        <v/>
      </c>
    </row>
    <row r="6" ht="26" customHeight="1">
      <c r="A6" s="24" t="inlineStr">
        <is>
          <t>TI-E02</t>
        </is>
      </c>
      <c r="B6" s="24" t="inlineStr">
        <is>
          <t>TI</t>
        </is>
      </c>
      <c r="C6" s="24" t="inlineStr">
        <is>
          <t>Equipe</t>
        </is>
      </c>
      <c r="D6" s="25" t="inlineStr">
        <is>
          <t>Elias Benedito</t>
        </is>
      </c>
      <c r="E6" s="25" t="inlineStr">
        <is>
          <t>Suporte Técnico Terceirizado</t>
        </is>
      </c>
      <c r="F6" s="24" t="inlineStr">
        <is>
          <t>PJ</t>
        </is>
      </c>
      <c r="G6" s="24" t="inlineStr">
        <is>
          <t>Pessoal - PJ</t>
        </is>
      </c>
      <c r="H6" s="26" t="n">
        <v>1065</v>
      </c>
      <c r="I6" s="26" t="n">
        <v>1065</v>
      </c>
      <c r="J6" s="26" t="n">
        <v>1065</v>
      </c>
      <c r="K6" s="26" t="n">
        <v>1065</v>
      </c>
      <c r="L6" s="26" t="n">
        <v>1065</v>
      </c>
      <c r="M6" s="26" t="n">
        <v>1065</v>
      </c>
      <c r="N6" s="26" t="n">
        <v>1065</v>
      </c>
      <c r="O6" s="26" t="n">
        <v>1065</v>
      </c>
      <c r="P6" s="26" t="n">
        <v>1065</v>
      </c>
      <c r="Q6" s="26" t="n">
        <v>1065</v>
      </c>
      <c r="R6" s="26" t="n">
        <v>1065</v>
      </c>
      <c r="S6" s="26" t="n">
        <v>1065</v>
      </c>
      <c r="T6" s="33">
        <f>SUM(H6:S6)</f>
        <v/>
      </c>
    </row>
    <row r="7" ht="26" customHeight="1">
      <c r="A7" s="24" t="inlineStr">
        <is>
          <t>TI-E03</t>
        </is>
      </c>
      <c r="B7" s="24" t="inlineStr">
        <is>
          <t>TI</t>
        </is>
      </c>
      <c r="C7" s="24" t="inlineStr">
        <is>
          <t>Equipe</t>
        </is>
      </c>
      <c r="D7" s="25" t="inlineStr">
        <is>
          <t>Jonathan</t>
        </is>
      </c>
      <c r="E7" s="25" t="inlineStr">
        <is>
          <t>Consultor — entrada em abr/26 (9 meses), conforme o total da ficha original</t>
        </is>
      </c>
      <c r="F7" s="24" t="inlineStr">
        <is>
          <t>PJ</t>
        </is>
      </c>
      <c r="G7" s="24" t="inlineStr">
        <is>
          <t>Pessoal - PJ</t>
        </is>
      </c>
      <c r="H7" s="26" t="n">
        <v>0</v>
      </c>
      <c r="I7" s="26" t="n">
        <v>0</v>
      </c>
      <c r="J7" s="26" t="n">
        <v>0</v>
      </c>
      <c r="K7" s="26" t="n">
        <v>10000</v>
      </c>
      <c r="L7" s="26" t="n">
        <v>10000</v>
      </c>
      <c r="M7" s="26" t="n">
        <v>10000</v>
      </c>
      <c r="N7" s="26" t="n">
        <v>10000</v>
      </c>
      <c r="O7" s="26" t="n">
        <v>10000</v>
      </c>
      <c r="P7" s="26" t="n">
        <v>10000</v>
      </c>
      <c r="Q7" s="26" t="n">
        <v>10000</v>
      </c>
      <c r="R7" s="26" t="n">
        <v>10000</v>
      </c>
      <c r="S7" s="26" t="n">
        <v>10000</v>
      </c>
      <c r="T7" s="33">
        <f>SUM(H7:S7)</f>
        <v/>
      </c>
    </row>
    <row r="8" ht="26" customHeight="1">
      <c r="A8" s="24" t="inlineStr">
        <is>
          <t>TI-D01</t>
        </is>
      </c>
      <c r="B8" s="24" t="inlineStr">
        <is>
          <t>TI</t>
        </is>
      </c>
      <c r="C8" s="24" t="inlineStr">
        <is>
          <t>Despesas</t>
        </is>
      </c>
      <c r="D8" s="25" t="inlineStr">
        <is>
          <t>Peças de Manutenção</t>
        </is>
      </c>
      <c r="E8" s="25" t="inlineStr">
        <is>
          <t>Tela, teclado, carcaça, mouses de reposição, carregadores etc.</t>
        </is>
      </c>
      <c r="F8" s="24" t="inlineStr"/>
      <c r="G8" s="24" t="inlineStr">
        <is>
          <t>Equipamentos Eletrônicos Diversos</t>
        </is>
      </c>
      <c r="H8" s="26" t="n">
        <v>810</v>
      </c>
      <c r="I8" s="26" t="n">
        <v>810</v>
      </c>
      <c r="J8" s="26" t="n">
        <v>810</v>
      </c>
      <c r="K8" s="26" t="n">
        <v>810</v>
      </c>
      <c r="L8" s="26" t="n">
        <v>810</v>
      </c>
      <c r="M8" s="26" t="n">
        <v>810</v>
      </c>
      <c r="N8" s="26" t="n">
        <v>810</v>
      </c>
      <c r="O8" s="26" t="n">
        <v>810</v>
      </c>
      <c r="P8" s="26" t="n">
        <v>810</v>
      </c>
      <c r="Q8" s="26" t="n">
        <v>810</v>
      </c>
      <c r="R8" s="26" t="n">
        <v>810</v>
      </c>
      <c r="S8" s="26" t="n">
        <v>810</v>
      </c>
      <c r="T8" s="33">
        <f>SUM(H8:S8)</f>
        <v/>
      </c>
    </row>
    <row r="9" ht="26" customHeight="1">
      <c r="A9" s="24" t="inlineStr">
        <is>
          <t>TI-D02</t>
        </is>
      </c>
      <c r="B9" s="24" t="inlineStr">
        <is>
          <t>TI</t>
        </is>
      </c>
      <c r="C9" s="24" t="inlineStr">
        <is>
          <t>Despesas</t>
        </is>
      </c>
      <c r="D9" s="25" t="inlineStr">
        <is>
          <t>Backup em Nuvem</t>
        </is>
      </c>
      <c r="E9" s="25" t="inlineStr">
        <is>
          <t>Serviço de backup em nuvem para servidor — RATEIO A DEFINIR</t>
        </is>
      </c>
      <c r="F9" s="24" t="inlineStr"/>
      <c r="G9" s="24" t="inlineStr">
        <is>
          <t>Licenças de Softwares</t>
        </is>
      </c>
      <c r="H9" s="26" t="n">
        <v>825</v>
      </c>
      <c r="I9" s="26" t="n">
        <v>825</v>
      </c>
      <c r="J9" s="26" t="n">
        <v>825</v>
      </c>
      <c r="K9" s="26" t="n">
        <v>825</v>
      </c>
      <c r="L9" s="26" t="n">
        <v>825</v>
      </c>
      <c r="M9" s="26" t="n">
        <v>825</v>
      </c>
      <c r="N9" s="26" t="n">
        <v>825</v>
      </c>
      <c r="O9" s="26" t="n">
        <v>825</v>
      </c>
      <c r="P9" s="26" t="n">
        <v>825</v>
      </c>
      <c r="Q9" s="26" t="n">
        <v>825</v>
      </c>
      <c r="R9" s="26" t="n">
        <v>825</v>
      </c>
      <c r="S9" s="26" t="n">
        <v>825</v>
      </c>
      <c r="T9" s="33">
        <f>SUM(H9:S9)</f>
        <v/>
      </c>
    </row>
    <row r="10" ht="26" customHeight="1">
      <c r="A10" s="24" t="inlineStr">
        <is>
          <t>TI-D03</t>
        </is>
      </c>
      <c r="B10" s="24" t="inlineStr">
        <is>
          <t>TI</t>
        </is>
      </c>
      <c r="C10" s="24" t="inlineStr">
        <is>
          <t>Despesas</t>
        </is>
      </c>
      <c r="D10" s="25" t="inlineStr">
        <is>
          <t>Inteligência Artificial (Adapta)</t>
        </is>
      </c>
      <c r="E10" s="25" t="inlineStr">
        <is>
          <t>Plataforma de IA para utilização de agentes — RATEIO A DEFINIR</t>
        </is>
      </c>
      <c r="F10" s="24" t="inlineStr"/>
      <c r="G10" s="24" t="inlineStr">
        <is>
          <t>Licenças de Softwares</t>
        </is>
      </c>
      <c r="H10" s="26" t="n">
        <v>1300</v>
      </c>
      <c r="I10" s="26" t="n">
        <v>1300</v>
      </c>
      <c r="J10" s="26" t="n">
        <v>1300</v>
      </c>
      <c r="K10" s="26" t="n">
        <v>1300</v>
      </c>
      <c r="L10" s="26" t="n">
        <v>1300</v>
      </c>
      <c r="M10" s="26" t="n">
        <v>1300</v>
      </c>
      <c r="N10" s="26" t="n">
        <v>1600</v>
      </c>
      <c r="O10" s="26" t="n">
        <v>1600</v>
      </c>
      <c r="P10" s="26" t="n">
        <v>1600</v>
      </c>
      <c r="Q10" s="26" t="n">
        <v>1600</v>
      </c>
      <c r="R10" s="26" t="n">
        <v>1600</v>
      </c>
      <c r="S10" s="26" t="n">
        <v>1600</v>
      </c>
      <c r="T10" s="33">
        <f>SUM(H10:S10)</f>
        <v/>
      </c>
    </row>
    <row r="11" ht="26" customHeight="1">
      <c r="A11" s="24" t="inlineStr">
        <is>
          <t>TI-D04</t>
        </is>
      </c>
      <c r="B11" s="24" t="inlineStr">
        <is>
          <t>TI</t>
        </is>
      </c>
      <c r="C11" s="24" t="inlineStr">
        <is>
          <t>Despesas</t>
        </is>
      </c>
      <c r="D11" s="25" t="inlineStr">
        <is>
          <t>Antivírus</t>
        </is>
      </c>
      <c r="E11" s="25" t="inlineStr">
        <is>
          <t>Proteção para equipamentos — RATEIO A DEFINIR</t>
        </is>
      </c>
      <c r="F11" s="24" t="inlineStr"/>
      <c r="G11" s="24" t="inlineStr">
        <is>
          <t>Licenças de Softwares</t>
        </is>
      </c>
      <c r="H11" s="26" t="n">
        <v>240</v>
      </c>
      <c r="I11" s="26" t="n">
        <v>240</v>
      </c>
      <c r="J11" s="26" t="n">
        <v>240</v>
      </c>
      <c r="K11" s="26" t="n">
        <v>240</v>
      </c>
      <c r="L11" s="26" t="n">
        <v>240</v>
      </c>
      <c r="M11" s="26" t="n">
        <v>240</v>
      </c>
      <c r="N11" s="26" t="n">
        <v>240</v>
      </c>
      <c r="O11" s="26" t="n">
        <v>240</v>
      </c>
      <c r="P11" s="26" t="n">
        <v>240</v>
      </c>
      <c r="Q11" s="26" t="n">
        <v>240</v>
      </c>
      <c r="R11" s="26" t="n">
        <v>240</v>
      </c>
      <c r="S11" s="26" t="n">
        <v>240</v>
      </c>
      <c r="T11" s="33">
        <f>SUM(H11:S11)</f>
        <v/>
      </c>
    </row>
    <row r="12" ht="26" customHeight="1">
      <c r="A12" s="24" t="inlineStr">
        <is>
          <t>TI-D05</t>
        </is>
      </c>
      <c r="B12" s="24" t="inlineStr">
        <is>
          <t>TI</t>
        </is>
      </c>
      <c r="C12" s="24" t="inlineStr">
        <is>
          <t>Despesas</t>
        </is>
      </c>
      <c r="D12" s="25" t="inlineStr">
        <is>
          <t>Pacote Office 365</t>
        </is>
      </c>
      <c r="E12" s="25" t="inlineStr">
        <is>
          <t>Licenças de software (conferir nº de licenças x usuários) — RATEIO A DEFINIR</t>
        </is>
      </c>
      <c r="F12" s="24" t="inlineStr"/>
      <c r="G12" s="24" t="inlineStr">
        <is>
          <t>Licenças de Softwares</t>
        </is>
      </c>
      <c r="H12" s="26" t="n">
        <v>375</v>
      </c>
      <c r="I12" s="26" t="n">
        <v>375</v>
      </c>
      <c r="J12" s="26" t="n">
        <v>375</v>
      </c>
      <c r="K12" s="26" t="n">
        <v>375</v>
      </c>
      <c r="L12" s="26" t="n">
        <v>375</v>
      </c>
      <c r="M12" s="26" t="n">
        <v>375</v>
      </c>
      <c r="N12" s="26" t="n">
        <v>375</v>
      </c>
      <c r="O12" s="26" t="n">
        <v>375</v>
      </c>
      <c r="P12" s="26" t="n">
        <v>375</v>
      </c>
      <c r="Q12" s="26" t="n">
        <v>375</v>
      </c>
      <c r="R12" s="26" t="n">
        <v>375</v>
      </c>
      <c r="S12" s="26" t="n">
        <v>375</v>
      </c>
      <c r="T12" s="33">
        <f>SUM(H12:S12)</f>
        <v/>
      </c>
    </row>
    <row r="13" ht="26" customHeight="1">
      <c r="A13" s="24" t="inlineStr">
        <is>
          <t>TI-D06</t>
        </is>
      </c>
      <c r="B13" s="24" t="inlineStr">
        <is>
          <t>TI</t>
        </is>
      </c>
      <c r="C13" s="24" t="inlineStr">
        <is>
          <t>Despesas</t>
        </is>
      </c>
      <c r="D13" s="25" t="inlineStr">
        <is>
          <t>Projeto Melhoria de Infraestrutura - Sala de Reunião</t>
        </is>
      </c>
      <c r="E13" s="25" t="inlineStr">
        <is>
          <t>Cadeiras, cafeteira, copos, canetas, blocos personalizados, câmeras, microfones etc.</t>
        </is>
      </c>
      <c r="F13" s="24" t="inlineStr"/>
      <c r="G13" s="24" t="inlineStr">
        <is>
          <t>Móveis e Utensílios</t>
        </is>
      </c>
      <c r="H13" s="26" t="n">
        <v>2800</v>
      </c>
      <c r="I13" s="26" t="n">
        <v>2800</v>
      </c>
      <c r="J13" s="26" t="n">
        <v>2800</v>
      </c>
      <c r="K13" s="26" t="n">
        <v>2800</v>
      </c>
      <c r="L13" s="26" t="n">
        <v>2800</v>
      </c>
      <c r="M13" s="26" t="n">
        <v>2800</v>
      </c>
      <c r="N13" s="26" t="n">
        <v>2800</v>
      </c>
      <c r="O13" s="26" t="n">
        <v>2800</v>
      </c>
      <c r="P13" s="26" t="n">
        <v>2800</v>
      </c>
      <c r="Q13" s="26" t="n">
        <v>2800</v>
      </c>
      <c r="R13" s="26" t="n">
        <v>2800</v>
      </c>
      <c r="S13" s="26" t="n">
        <v>2800</v>
      </c>
      <c r="T13" s="33">
        <f>SUM(H13:S13)</f>
        <v/>
      </c>
    </row>
    <row r="14" ht="26" customHeight="1">
      <c r="A14" s="24" t="inlineStr">
        <is>
          <t>TI-D07</t>
        </is>
      </c>
      <c r="B14" s="24" t="inlineStr">
        <is>
          <t>TI</t>
        </is>
      </c>
      <c r="C14" s="24" t="inlineStr">
        <is>
          <t>Despesas</t>
        </is>
      </c>
      <c r="D14" s="25" t="inlineStr">
        <is>
          <t>Cursos e Treinamentos</t>
        </is>
      </c>
      <c r="E14" s="25" t="inlineStr"/>
      <c r="F14" s="24" t="inlineStr"/>
      <c r="G14" s="24" t="inlineStr">
        <is>
          <t>Custeio de Treinamento</t>
        </is>
      </c>
      <c r="H14" s="26" t="n">
        <v>200</v>
      </c>
      <c r="I14" s="26" t="n">
        <v>200</v>
      </c>
      <c r="J14" s="26" t="n">
        <v>200</v>
      </c>
      <c r="K14" s="26" t="n">
        <v>200</v>
      </c>
      <c r="L14" s="26" t="n">
        <v>200</v>
      </c>
      <c r="M14" s="26" t="n">
        <v>200</v>
      </c>
      <c r="N14" s="26" t="n">
        <v>200</v>
      </c>
      <c r="O14" s="26" t="n">
        <v>200</v>
      </c>
      <c r="P14" s="26" t="n">
        <v>200</v>
      </c>
      <c r="Q14" s="26" t="n">
        <v>200</v>
      </c>
      <c r="R14" s="26" t="n">
        <v>200</v>
      </c>
      <c r="S14" s="26" t="n">
        <v>200</v>
      </c>
      <c r="T14" s="33">
        <f>SUM(H14:S14)</f>
        <v/>
      </c>
    </row>
    <row r="15" ht="26" customHeight="1">
      <c r="A15" s="24" t="inlineStr">
        <is>
          <t>TI-D08</t>
        </is>
      </c>
      <c r="B15" s="24" t="inlineStr">
        <is>
          <t>TI</t>
        </is>
      </c>
      <c r="C15" s="24" t="inlineStr">
        <is>
          <t>Despesas</t>
        </is>
      </c>
      <c r="D15" s="25" t="inlineStr">
        <is>
          <t>Aplicativo de Gravação de Reunião</t>
        </is>
      </c>
      <c r="E15" s="25" t="inlineStr"/>
      <c r="F15" s="24" t="inlineStr"/>
      <c r="G15" s="24" t="inlineStr">
        <is>
          <t>Licenças de Softwares</t>
        </is>
      </c>
      <c r="H15" s="26" t="n">
        <v>220</v>
      </c>
      <c r="I15" s="26" t="n">
        <v>220</v>
      </c>
      <c r="J15" s="26" t="n">
        <v>220</v>
      </c>
      <c r="K15" s="26" t="n">
        <v>220</v>
      </c>
      <c r="L15" s="26" t="n">
        <v>220</v>
      </c>
      <c r="M15" s="26" t="n">
        <v>220</v>
      </c>
      <c r="N15" s="26" t="n">
        <v>220</v>
      </c>
      <c r="O15" s="26" t="n">
        <v>220</v>
      </c>
      <c r="P15" s="26" t="n">
        <v>220</v>
      </c>
      <c r="Q15" s="26" t="n">
        <v>220</v>
      </c>
      <c r="R15" s="26" t="n">
        <v>220</v>
      </c>
      <c r="S15" s="26" t="n">
        <v>220</v>
      </c>
      <c r="T15" s="33">
        <f>SUM(H15:S15)</f>
        <v/>
      </c>
    </row>
    <row r="16" ht="26" customHeight="1">
      <c r="A16" s="24" t="inlineStr">
        <is>
          <t>TI-D09</t>
        </is>
      </c>
      <c r="B16" s="24" t="inlineStr">
        <is>
          <t>TI</t>
        </is>
      </c>
      <c r="C16" s="24" t="inlineStr">
        <is>
          <t>Despesas</t>
        </is>
      </c>
      <c r="D16" s="25" t="inlineStr">
        <is>
          <t>Bonificação do time</t>
        </is>
      </c>
      <c r="E16" s="25" t="inlineStr">
        <is>
          <t>Cumprimento de prazos e participação em projetos — CONFIRMAR se houve parcela no 1º quadrimestre</t>
        </is>
      </c>
      <c r="F16" s="24" t="inlineStr"/>
      <c r="G16" s="24" t="inlineStr">
        <is>
          <t>Prêmios</t>
        </is>
      </c>
      <c r="H16" s="26" t="n">
        <v>0</v>
      </c>
      <c r="I16" s="26" t="n">
        <v>0</v>
      </c>
      <c r="J16" s="26" t="n">
        <v>0</v>
      </c>
      <c r="K16" s="26" t="n">
        <v>0</v>
      </c>
      <c r="L16" s="26" t="n">
        <v>0</v>
      </c>
      <c r="M16" s="26" t="n">
        <v>0</v>
      </c>
      <c r="N16" s="26" t="n">
        <v>0</v>
      </c>
      <c r="O16" s="26" t="n">
        <v>2400</v>
      </c>
      <c r="P16" s="26" t="n">
        <v>0</v>
      </c>
      <c r="Q16" s="26" t="n">
        <v>0</v>
      </c>
      <c r="R16" s="26" t="n">
        <v>0</v>
      </c>
      <c r="S16" s="26" t="n">
        <v>3600</v>
      </c>
      <c r="T16" s="33">
        <f>SUM(H16:S16)</f>
        <v/>
      </c>
    </row>
    <row r="17">
      <c r="A17" s="30" t="inlineStr">
        <is>
          <t>TOTAL GERAL</t>
        </is>
      </c>
      <c r="B17" s="30" t="n"/>
      <c r="C17" s="30" t="n"/>
      <c r="D17" s="30" t="n"/>
      <c r="E17" s="30" t="n"/>
      <c r="F17" s="30" t="n"/>
      <c r="G17" s="30" t="n"/>
      <c r="H17" s="31">
        <f>SUM(H5:H16)</f>
        <v/>
      </c>
      <c r="I17" s="31">
        <f>SUM(I5:I16)</f>
        <v/>
      </c>
      <c r="J17" s="31">
        <f>SUM(J5:J16)</f>
        <v/>
      </c>
      <c r="K17" s="31">
        <f>SUM(K5:K16)</f>
        <v/>
      </c>
      <c r="L17" s="31">
        <f>SUM(L5:L16)</f>
        <v/>
      </c>
      <c r="M17" s="31">
        <f>SUM(M5:M16)</f>
        <v/>
      </c>
      <c r="N17" s="31">
        <f>SUM(N5:N16)</f>
        <v/>
      </c>
      <c r="O17" s="31">
        <f>SUM(O5:O16)</f>
        <v/>
      </c>
      <c r="P17" s="31">
        <f>SUM(P5:P16)</f>
        <v/>
      </c>
      <c r="Q17" s="31">
        <f>SUM(Q5:Q16)</f>
        <v/>
      </c>
      <c r="R17" s="31">
        <f>SUM(R5:R16)</f>
        <v/>
      </c>
      <c r="S17" s="31">
        <f>SUM(S5:S16)</f>
        <v/>
      </c>
      <c r="T17" s="31">
        <f>SUM(T5:T16)</f>
        <v/>
      </c>
    </row>
  </sheetData>
  <autoFilter ref="A4:T16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7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34" t="inlineStr">
        <is>
          <t>ID</t>
        </is>
      </c>
      <c r="B4" s="34" t="inlineStr">
        <is>
          <t>Departamento</t>
        </is>
      </c>
      <c r="C4" s="34" t="inlineStr">
        <is>
          <t>Bloco</t>
        </is>
      </c>
      <c r="D4" s="34" t="inlineStr">
        <is>
          <t>Descrição</t>
        </is>
      </c>
      <c r="E4" s="34" t="inlineStr">
        <is>
          <t>Detalhe / Observação</t>
        </is>
      </c>
      <c r="F4" s="34" t="inlineStr">
        <is>
          <t>Vínculo</t>
        </is>
      </c>
      <c r="G4" s="34" t="inlineStr">
        <is>
          <t>Plano de Contas</t>
        </is>
      </c>
      <c r="H4" s="34" t="inlineStr">
        <is>
          <t>Jan/26</t>
        </is>
      </c>
      <c r="I4" s="34" t="inlineStr">
        <is>
          <t>Fev/26</t>
        </is>
      </c>
      <c r="J4" s="34" t="inlineStr">
        <is>
          <t>Mar/26</t>
        </is>
      </c>
      <c r="K4" s="34" t="inlineStr">
        <is>
          <t>Abr/26</t>
        </is>
      </c>
      <c r="L4" s="34" t="inlineStr">
        <is>
          <t>Mai/26</t>
        </is>
      </c>
      <c r="M4" s="34" t="inlineStr">
        <is>
          <t>Jun/26</t>
        </is>
      </c>
      <c r="N4" s="34" t="inlineStr">
        <is>
          <t>Jul/26</t>
        </is>
      </c>
      <c r="O4" s="34" t="inlineStr">
        <is>
          <t>Ago/26</t>
        </is>
      </c>
      <c r="P4" s="34" t="inlineStr">
        <is>
          <t>Set/26</t>
        </is>
      </c>
      <c r="Q4" s="34" t="inlineStr">
        <is>
          <t>Out/26</t>
        </is>
      </c>
      <c r="R4" s="34" t="inlineStr">
        <is>
          <t>Nov/26</t>
        </is>
      </c>
      <c r="S4" s="34" t="inlineStr">
        <is>
          <t>Dez/26</t>
        </is>
      </c>
      <c r="T4" s="34" t="inlineStr">
        <is>
          <t>TOTAL REALIZADO</t>
        </is>
      </c>
      <c r="U4" s="34" t="inlineStr">
        <is>
          <t>Fonte do dado</t>
        </is>
      </c>
      <c r="V4" s="34" t="inlineStr">
        <is>
          <t>Observações do mês</t>
        </is>
      </c>
    </row>
    <row r="5" ht="26" customHeight="1">
      <c r="A5" s="35">
        <f>Planejado!A5</f>
        <v/>
      </c>
      <c r="B5" s="35">
        <f>Planejado!B5</f>
        <v/>
      </c>
      <c r="C5" s="35">
        <f>Planejado!C5</f>
        <v/>
      </c>
      <c r="D5" s="36">
        <f>Planejado!D5</f>
        <v/>
      </c>
      <c r="E5" s="36">
        <f>Planejado!E5</f>
        <v/>
      </c>
      <c r="F5" s="35">
        <f>Planejado!F5</f>
        <v/>
      </c>
      <c r="G5" s="35">
        <f>Planejado!G5</f>
        <v/>
      </c>
      <c r="H5" s="37" t="n"/>
      <c r="I5" s="37" t="n"/>
      <c r="J5" s="37" t="n"/>
      <c r="K5" s="37" t="n"/>
      <c r="L5" s="37" t="n"/>
      <c r="M5" s="37" t="n"/>
      <c r="N5" s="37" t="n"/>
      <c r="O5" s="37" t="n"/>
      <c r="T5" s="33">
        <f>SUM(H5:S5)</f>
        <v/>
      </c>
      <c r="U5" s="38" t="n"/>
      <c r="V5" s="38" t="inlineStr">
        <is>
          <t>PREENCHER com o CUSTO TOTAL. Bruto: R$ 2.570,52/mês até jul e R$ 3.070,52 de ago — faltam encargos e benefícios</t>
        </is>
      </c>
    </row>
    <row r="6" ht="26" customHeight="1">
      <c r="A6" s="35">
        <f>Planejado!A6</f>
        <v/>
      </c>
      <c r="B6" s="35">
        <f>Planejado!B6</f>
        <v/>
      </c>
      <c r="C6" s="35">
        <f>Planejado!C6</f>
        <v/>
      </c>
      <c r="D6" s="36">
        <f>Planejado!D6</f>
        <v/>
      </c>
      <c r="E6" s="36">
        <f>Planejado!E6</f>
        <v/>
      </c>
      <c r="F6" s="35">
        <f>Planejado!F6</f>
        <v/>
      </c>
      <c r="G6" s="35">
        <f>Planejado!G6</f>
        <v/>
      </c>
      <c r="H6" s="37" t="n">
        <v>0</v>
      </c>
      <c r="I6" s="37" t="n">
        <v>0</v>
      </c>
      <c r="J6" s="37" t="n">
        <v>0</v>
      </c>
      <c r="K6" s="37" t="n">
        <v>0</v>
      </c>
      <c r="L6" s="37" t="n">
        <v>0</v>
      </c>
      <c r="M6" s="37" t="n">
        <v>0</v>
      </c>
      <c r="N6" s="37" t="n">
        <v>0</v>
      </c>
      <c r="O6" s="37" t="n"/>
      <c r="T6" s="33">
        <f>SUM(H6:S6)</f>
        <v/>
      </c>
      <c r="U6" s="38" t="inlineStr">
        <is>
          <t>Gestora, 05/08/26</t>
        </is>
      </c>
      <c r="V6" s="38" t="inlineStr">
        <is>
          <t>Sem acionamento no período — confirmar se o contrato segue ativo</t>
        </is>
      </c>
    </row>
    <row r="7" ht="26" customHeight="1">
      <c r="A7" s="35">
        <f>Planejado!A7</f>
        <v/>
      </c>
      <c r="B7" s="35">
        <f>Planejado!B7</f>
        <v/>
      </c>
      <c r="C7" s="35">
        <f>Planejado!C7</f>
        <v/>
      </c>
      <c r="D7" s="36">
        <f>Planejado!D7</f>
        <v/>
      </c>
      <c r="E7" s="36">
        <f>Planejado!E7</f>
        <v/>
      </c>
      <c r="F7" s="35">
        <f>Planejado!F7</f>
        <v/>
      </c>
      <c r="G7" s="35">
        <f>Planejado!G7</f>
        <v/>
      </c>
      <c r="H7" s="37" t="n">
        <v>0</v>
      </c>
      <c r="I7" s="37" t="n">
        <v>0</v>
      </c>
      <c r="J7" s="37" t="n">
        <v>0</v>
      </c>
      <c r="K7" s="37" t="n">
        <v>6300</v>
      </c>
      <c r="L7" s="37" t="n">
        <v>6300</v>
      </c>
      <c r="M7" s="37" t="n">
        <v>6300</v>
      </c>
      <c r="N7" s="37" t="n">
        <v>6300</v>
      </c>
      <c r="O7" s="37" t="n"/>
      <c r="T7" s="33">
        <f>SUM(H7:S7)</f>
        <v/>
      </c>
      <c r="U7" s="38" t="inlineStr">
        <is>
          <t>Gestora, 05/08/26</t>
        </is>
      </c>
      <c r="V7" s="38" t="inlineStr">
        <is>
          <t>Entrada em abr/26. R$ 3.700/mês abaixo do contratado — confirmar escopo</t>
        </is>
      </c>
    </row>
    <row r="8" ht="26" customHeight="1">
      <c r="A8" s="35">
        <f>Planejado!A8</f>
        <v/>
      </c>
      <c r="B8" s="35">
        <f>Planejado!B8</f>
        <v/>
      </c>
      <c r="C8" s="35">
        <f>Planejado!C8</f>
        <v/>
      </c>
      <c r="D8" s="36">
        <f>Planejado!D8</f>
        <v/>
      </c>
      <c r="E8" s="36">
        <f>Planejado!E8</f>
        <v/>
      </c>
      <c r="F8" s="35">
        <f>Planejado!F8</f>
        <v/>
      </c>
      <c r="G8" s="35">
        <f>Planejado!G8</f>
        <v/>
      </c>
      <c r="H8" s="37" t="n"/>
      <c r="I8" s="37" t="n"/>
      <c r="J8" s="37" t="n"/>
      <c r="K8" s="37" t="n"/>
      <c r="L8" s="37" t="n"/>
      <c r="M8" s="37" t="n"/>
      <c r="N8" s="37" t="n"/>
      <c r="O8" s="37" t="n"/>
      <c r="T8" s="33">
        <f>SUM(H8:S8)</f>
        <v/>
      </c>
      <c r="U8" s="38" t="n"/>
      <c r="V8" s="38" t="n"/>
    </row>
    <row r="9" ht="26" customHeight="1">
      <c r="A9" s="35">
        <f>Planejado!A9</f>
        <v/>
      </c>
      <c r="B9" s="35">
        <f>Planejado!B9</f>
        <v/>
      </c>
      <c r="C9" s="35">
        <f>Planejado!C9</f>
        <v/>
      </c>
      <c r="D9" s="36">
        <f>Planejado!D9</f>
        <v/>
      </c>
      <c r="E9" s="36">
        <f>Planejado!E9</f>
        <v/>
      </c>
      <c r="F9" s="35">
        <f>Planejado!F9</f>
        <v/>
      </c>
      <c r="G9" s="35">
        <f>Planejado!G9</f>
        <v/>
      </c>
      <c r="H9" s="37" t="n"/>
      <c r="I9" s="37" t="n"/>
      <c r="J9" s="37" t="n"/>
      <c r="K9" s="37" t="n"/>
      <c r="L9" s="37" t="n"/>
      <c r="M9" s="37" t="n"/>
      <c r="N9" s="37" t="n"/>
      <c r="O9" s="37" t="n"/>
      <c r="T9" s="33">
        <f>SUM(H9:S9)</f>
        <v/>
      </c>
      <c r="U9" s="38" t="n"/>
      <c r="V9" s="38" t="n"/>
    </row>
    <row r="10" ht="26" customHeight="1">
      <c r="A10" s="35">
        <f>Planejado!A10</f>
        <v/>
      </c>
      <c r="B10" s="35">
        <f>Planejado!B10</f>
        <v/>
      </c>
      <c r="C10" s="35">
        <f>Planejado!C10</f>
        <v/>
      </c>
      <c r="D10" s="36">
        <f>Planejado!D10</f>
        <v/>
      </c>
      <c r="E10" s="36">
        <f>Planejado!E10</f>
        <v/>
      </c>
      <c r="F10" s="35">
        <f>Planejado!F10</f>
        <v/>
      </c>
      <c r="G10" s="35">
        <f>Planejado!G10</f>
        <v/>
      </c>
      <c r="H10" s="37" t="n"/>
      <c r="I10" s="37" t="n"/>
      <c r="J10" s="37" t="n"/>
      <c r="K10" s="37" t="n"/>
      <c r="L10" s="37" t="n"/>
      <c r="M10" s="37" t="n"/>
      <c r="N10" s="37" t="n"/>
      <c r="O10" s="37" t="n"/>
      <c r="T10" s="33">
        <f>SUM(H10:S10)</f>
        <v/>
      </c>
      <c r="U10" s="38" t="n"/>
      <c r="V10" s="38" t="n"/>
    </row>
    <row r="11" ht="26" customHeight="1">
      <c r="A11" s="35">
        <f>Planejado!A11</f>
        <v/>
      </c>
      <c r="B11" s="35">
        <f>Planejado!B11</f>
        <v/>
      </c>
      <c r="C11" s="35">
        <f>Planejado!C11</f>
        <v/>
      </c>
      <c r="D11" s="36">
        <f>Planejado!D11</f>
        <v/>
      </c>
      <c r="E11" s="36">
        <f>Planejado!E11</f>
        <v/>
      </c>
      <c r="F11" s="35">
        <f>Planejado!F11</f>
        <v/>
      </c>
      <c r="G11" s="35">
        <f>Planejado!G11</f>
        <v/>
      </c>
      <c r="H11" s="37" t="n"/>
      <c r="I11" s="37" t="n"/>
      <c r="J11" s="37" t="n"/>
      <c r="K11" s="37" t="n"/>
      <c r="L11" s="37" t="n"/>
      <c r="M11" s="37" t="n"/>
      <c r="N11" s="37" t="n"/>
      <c r="O11" s="37" t="n"/>
      <c r="T11" s="33">
        <f>SUM(H11:S11)</f>
        <v/>
      </c>
      <c r="U11" s="38" t="n"/>
      <c r="V11" s="38" t="n"/>
    </row>
    <row r="12" ht="26" customHeight="1">
      <c r="A12" s="35">
        <f>Planejado!A12</f>
        <v/>
      </c>
      <c r="B12" s="35">
        <f>Planejado!B12</f>
        <v/>
      </c>
      <c r="C12" s="35">
        <f>Planejado!C12</f>
        <v/>
      </c>
      <c r="D12" s="36">
        <f>Planejado!D12</f>
        <v/>
      </c>
      <c r="E12" s="36">
        <f>Planejado!E12</f>
        <v/>
      </c>
      <c r="F12" s="35">
        <f>Planejado!F12</f>
        <v/>
      </c>
      <c r="G12" s="35">
        <f>Planejado!G12</f>
        <v/>
      </c>
      <c r="H12" s="37" t="n"/>
      <c r="I12" s="37" t="n"/>
      <c r="J12" s="37" t="n"/>
      <c r="K12" s="37" t="n"/>
      <c r="L12" s="37" t="n"/>
      <c r="M12" s="37" t="n"/>
      <c r="N12" s="37" t="n"/>
      <c r="O12" s="37" t="n"/>
      <c r="T12" s="33">
        <f>SUM(H12:S12)</f>
        <v/>
      </c>
      <c r="U12" s="38" t="n"/>
      <c r="V12" s="38" t="n"/>
    </row>
    <row r="13" ht="26" customHeight="1">
      <c r="A13" s="35">
        <f>Planejado!A13</f>
        <v/>
      </c>
      <c r="B13" s="35">
        <f>Planejado!B13</f>
        <v/>
      </c>
      <c r="C13" s="35">
        <f>Planejado!C13</f>
        <v/>
      </c>
      <c r="D13" s="36">
        <f>Planejado!D13</f>
        <v/>
      </c>
      <c r="E13" s="36">
        <f>Planejado!E13</f>
        <v/>
      </c>
      <c r="F13" s="35">
        <f>Planejado!F13</f>
        <v/>
      </c>
      <c r="G13" s="35">
        <f>Planejado!G13</f>
        <v/>
      </c>
      <c r="H13" s="37" t="n"/>
      <c r="I13" s="37" t="n"/>
      <c r="J13" s="37" t="n"/>
      <c r="K13" s="37" t="n"/>
      <c r="L13" s="37" t="n"/>
      <c r="M13" s="37" t="n"/>
      <c r="N13" s="37" t="n"/>
      <c r="O13" s="37" t="n"/>
      <c r="T13" s="33">
        <f>SUM(H13:S13)</f>
        <v/>
      </c>
      <c r="U13" s="38" t="n"/>
      <c r="V13" s="38" t="n"/>
    </row>
    <row r="14" ht="26" customHeight="1">
      <c r="A14" s="35">
        <f>Planejado!A14</f>
        <v/>
      </c>
      <c r="B14" s="35">
        <f>Planejado!B14</f>
        <v/>
      </c>
      <c r="C14" s="35">
        <f>Planejado!C14</f>
        <v/>
      </c>
      <c r="D14" s="36">
        <f>Planejado!D14</f>
        <v/>
      </c>
      <c r="E14" s="36">
        <f>Planejado!E14</f>
        <v/>
      </c>
      <c r="F14" s="35">
        <f>Planejado!F14</f>
        <v/>
      </c>
      <c r="G14" s="35">
        <f>Planejado!G14</f>
        <v/>
      </c>
      <c r="H14" s="37" t="n"/>
      <c r="I14" s="37" t="n"/>
      <c r="J14" s="37" t="n"/>
      <c r="K14" s="37" t="n"/>
      <c r="L14" s="37" t="n"/>
      <c r="M14" s="37" t="n"/>
      <c r="N14" s="37" t="n"/>
      <c r="O14" s="37" t="n"/>
      <c r="T14" s="33">
        <f>SUM(H14:S14)</f>
        <v/>
      </c>
      <c r="U14" s="38" t="n"/>
      <c r="V14" s="38" t="n"/>
    </row>
    <row r="15" ht="26" customHeight="1">
      <c r="A15" s="35">
        <f>Planejado!A15</f>
        <v/>
      </c>
      <c r="B15" s="35">
        <f>Planejado!B15</f>
        <v/>
      </c>
      <c r="C15" s="35">
        <f>Planejado!C15</f>
        <v/>
      </c>
      <c r="D15" s="36">
        <f>Planejado!D15</f>
        <v/>
      </c>
      <c r="E15" s="36">
        <f>Planejado!E15</f>
        <v/>
      </c>
      <c r="F15" s="35">
        <f>Planejado!F15</f>
        <v/>
      </c>
      <c r="G15" s="35">
        <f>Planejado!G15</f>
        <v/>
      </c>
      <c r="H15" s="37" t="n"/>
      <c r="I15" s="37" t="n"/>
      <c r="J15" s="37" t="n"/>
      <c r="K15" s="37" t="n"/>
      <c r="L15" s="37" t="n"/>
      <c r="M15" s="37" t="n"/>
      <c r="N15" s="37" t="n"/>
      <c r="O15" s="37" t="n"/>
      <c r="T15" s="33">
        <f>SUM(H15:S15)</f>
        <v/>
      </c>
      <c r="U15" s="38" t="n"/>
      <c r="V15" s="38" t="n"/>
    </row>
    <row r="16" ht="26" customHeight="1">
      <c r="A16" s="35">
        <f>Planejado!A16</f>
        <v/>
      </c>
      <c r="B16" s="35">
        <f>Planejado!B16</f>
        <v/>
      </c>
      <c r="C16" s="35">
        <f>Planejado!C16</f>
        <v/>
      </c>
      <c r="D16" s="36">
        <f>Planejado!D16</f>
        <v/>
      </c>
      <c r="E16" s="36">
        <f>Planejado!E16</f>
        <v/>
      </c>
      <c r="F16" s="35">
        <f>Planejado!F16</f>
        <v/>
      </c>
      <c r="G16" s="35">
        <f>Planejado!G16</f>
        <v/>
      </c>
      <c r="H16" s="37" t="n"/>
      <c r="I16" s="37" t="n"/>
      <c r="J16" s="37" t="n"/>
      <c r="K16" s="37" t="n"/>
      <c r="L16" s="37" t="n"/>
      <c r="M16" s="37" t="n"/>
      <c r="N16" s="37" t="n"/>
      <c r="O16" s="37" t="n"/>
      <c r="T16" s="33">
        <f>SUM(H16:S16)</f>
        <v/>
      </c>
      <c r="U16" s="38" t="n"/>
      <c r="V16" s="38" t="n"/>
    </row>
    <row r="17">
      <c r="A17" s="39" t="inlineStr">
        <is>
          <t>TOTAL GERAL</t>
        </is>
      </c>
      <c r="B17" s="39" t="n"/>
      <c r="C17" s="39" t="n"/>
      <c r="D17" s="39" t="n"/>
      <c r="E17" s="39" t="n"/>
      <c r="F17" s="39" t="n"/>
      <c r="G17" s="39" t="n"/>
      <c r="H17" s="40">
        <f>SUM(H5:H16)</f>
        <v/>
      </c>
      <c r="I17" s="40">
        <f>SUM(I5:I16)</f>
        <v/>
      </c>
      <c r="J17" s="40">
        <f>SUM(J5:J16)</f>
        <v/>
      </c>
      <c r="K17" s="40">
        <f>SUM(K5:K16)</f>
        <v/>
      </c>
      <c r="L17" s="40">
        <f>SUM(L5:L16)</f>
        <v/>
      </c>
      <c r="M17" s="40">
        <f>SUM(M5:M16)</f>
        <v/>
      </c>
      <c r="N17" s="40">
        <f>SUM(N5:N16)</f>
        <v/>
      </c>
      <c r="O17" s="40">
        <f>SUM(O5:O16)</f>
        <v/>
      </c>
      <c r="P17" s="40">
        <f>SUM(P5:P16)</f>
        <v/>
      </c>
      <c r="Q17" s="40">
        <f>SUM(Q5:Q16)</f>
        <v/>
      </c>
      <c r="R17" s="40">
        <f>SUM(R5:R16)</f>
        <v/>
      </c>
      <c r="S17" s="40">
        <f>SUM(S5:S16)</f>
        <v/>
      </c>
      <c r="T17" s="40">
        <f>SUM(T5:T16)</f>
        <v/>
      </c>
      <c r="U17" s="39" t="n"/>
      <c r="V17" s="39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TI Plan.</t>
        </is>
      </c>
      <c r="C4" s="6" t="inlineStr">
        <is>
          <t>TI Real.</t>
        </is>
      </c>
      <c r="D4" s="6" t="inlineStr">
        <is>
          <t>Total Plan.</t>
        </is>
      </c>
      <c r="E4" s="6" t="inlineStr">
        <is>
          <t>Total Real.</t>
        </is>
      </c>
      <c r="F4" s="6" t="inlineStr">
        <is>
          <t>Desvio do mês (R$)</t>
        </is>
      </c>
      <c r="G4" s="6" t="inlineStr">
        <is>
          <t>Planejado acum.</t>
        </is>
      </c>
      <c r="H4" s="6" t="inlineStr">
        <is>
          <t>Realizado acum.</t>
        </is>
      </c>
    </row>
    <row r="5" ht="20" customHeight="1">
      <c r="A5" s="41" t="inlineStr">
        <is>
          <t>Jan/26</t>
        </is>
      </c>
      <c r="B5" s="42">
        <f>SUMIFS(Planejado!$H$5:$H$16,Planejado!$B$5:$B$16,"TI")</f>
        <v/>
      </c>
      <c r="C5" s="42">
        <f>SUMIFS(Realizado!$H$5:$H$16,Realizado!$B$5:$B$16,"TI")</f>
        <v/>
      </c>
      <c r="D5" s="42">
        <f>B5</f>
        <v/>
      </c>
      <c r="E5" s="42">
        <f>C5</f>
        <v/>
      </c>
      <c r="F5" s="42">
        <f>E5-D5</f>
        <v/>
      </c>
      <c r="G5" s="42">
        <f>SUM($D$5:D5)</f>
        <v/>
      </c>
      <c r="H5" s="42">
        <f>SUM($E$5:E5)</f>
        <v/>
      </c>
    </row>
    <row r="6" ht="20" customHeight="1">
      <c r="A6" s="43" t="inlineStr">
        <is>
          <t>Fev/26</t>
        </is>
      </c>
      <c r="B6" s="26">
        <f>SUMIFS(Planejado!$I$5:$I$16,Planejado!$B$5:$B$16,"TI")</f>
        <v/>
      </c>
      <c r="C6" s="26">
        <f>SUMIFS(Realizado!$I$5:$I$16,Realizado!$B$5:$B$16,"TI")</f>
        <v/>
      </c>
      <c r="D6" s="26">
        <f>B6</f>
        <v/>
      </c>
      <c r="E6" s="26">
        <f>C6</f>
        <v/>
      </c>
      <c r="F6" s="26">
        <f>E6-D6</f>
        <v/>
      </c>
      <c r="G6" s="26">
        <f>SUM($D$5:D6)</f>
        <v/>
      </c>
      <c r="H6" s="26">
        <f>SUM($E$5:E6)</f>
        <v/>
      </c>
    </row>
    <row r="7" ht="20" customHeight="1">
      <c r="A7" s="41" t="inlineStr">
        <is>
          <t>Mar/26</t>
        </is>
      </c>
      <c r="B7" s="42">
        <f>SUMIFS(Planejado!$J$5:$J$16,Planejado!$B$5:$B$16,"TI")</f>
        <v/>
      </c>
      <c r="C7" s="42">
        <f>SUMIFS(Realizado!$J$5:$J$16,Realizado!$B$5:$B$16,"TI")</f>
        <v/>
      </c>
      <c r="D7" s="42">
        <f>B7</f>
        <v/>
      </c>
      <c r="E7" s="42">
        <f>C7</f>
        <v/>
      </c>
      <c r="F7" s="42">
        <f>E7-D7</f>
        <v/>
      </c>
      <c r="G7" s="42">
        <f>SUM($D$5:D7)</f>
        <v/>
      </c>
      <c r="H7" s="42">
        <f>SUM($E$5:E7)</f>
        <v/>
      </c>
    </row>
    <row r="8" ht="20" customHeight="1">
      <c r="A8" s="43" t="inlineStr">
        <is>
          <t>Abr/26</t>
        </is>
      </c>
      <c r="B8" s="26">
        <f>SUMIFS(Planejado!$K$5:$K$16,Planejado!$B$5:$B$16,"TI")</f>
        <v/>
      </c>
      <c r="C8" s="26">
        <f>SUMIFS(Realizado!$K$5:$K$16,Realizado!$B$5:$B$16,"TI")</f>
        <v/>
      </c>
      <c r="D8" s="26">
        <f>B8</f>
        <v/>
      </c>
      <c r="E8" s="26">
        <f>C8</f>
        <v/>
      </c>
      <c r="F8" s="26">
        <f>E8-D8</f>
        <v/>
      </c>
      <c r="G8" s="26">
        <f>SUM($D$5:D8)</f>
        <v/>
      </c>
      <c r="H8" s="26">
        <f>SUM($E$5:E8)</f>
        <v/>
      </c>
    </row>
    <row r="9" ht="20" customHeight="1">
      <c r="A9" s="41" t="inlineStr">
        <is>
          <t>Mai/26</t>
        </is>
      </c>
      <c r="B9" s="42">
        <f>SUMIFS(Planejado!$L$5:$L$16,Planejado!$B$5:$B$16,"TI")</f>
        <v/>
      </c>
      <c r="C9" s="42">
        <f>SUMIFS(Realizado!$L$5:$L$16,Realizado!$B$5:$B$16,"TI")</f>
        <v/>
      </c>
      <c r="D9" s="42">
        <f>B9</f>
        <v/>
      </c>
      <c r="E9" s="42">
        <f>C9</f>
        <v/>
      </c>
      <c r="F9" s="42">
        <f>E9-D9</f>
        <v/>
      </c>
      <c r="G9" s="42">
        <f>SUM($D$5:D9)</f>
        <v/>
      </c>
      <c r="H9" s="42">
        <f>SUM($E$5:E9)</f>
        <v/>
      </c>
    </row>
    <row r="10" ht="20" customHeight="1">
      <c r="A10" s="43" t="inlineStr">
        <is>
          <t>Jun/26</t>
        </is>
      </c>
      <c r="B10" s="26">
        <f>SUMIFS(Planejado!$M$5:$M$16,Planejado!$B$5:$B$16,"TI")</f>
        <v/>
      </c>
      <c r="C10" s="26">
        <f>SUMIFS(Realizado!$M$5:$M$16,Realizado!$B$5:$B$16,"TI")</f>
        <v/>
      </c>
      <c r="D10" s="26">
        <f>B10</f>
        <v/>
      </c>
      <c r="E10" s="26">
        <f>C10</f>
        <v/>
      </c>
      <c r="F10" s="26">
        <f>E10-D10</f>
        <v/>
      </c>
      <c r="G10" s="26">
        <f>SUM($D$5:D10)</f>
        <v/>
      </c>
      <c r="H10" s="26">
        <f>SUM($E$5:E10)</f>
        <v/>
      </c>
    </row>
    <row r="11" ht="20" customHeight="1">
      <c r="A11" s="41" t="inlineStr">
        <is>
          <t>Jul/26</t>
        </is>
      </c>
      <c r="B11" s="42">
        <f>SUMIFS(Planejado!$N$5:$N$16,Planejado!$B$5:$B$16,"TI")</f>
        <v/>
      </c>
      <c r="C11" s="42">
        <f>SUMIFS(Realizado!$N$5:$N$16,Realizado!$B$5:$B$16,"TI")</f>
        <v/>
      </c>
      <c r="D11" s="42">
        <f>B11</f>
        <v/>
      </c>
      <c r="E11" s="42">
        <f>C11</f>
        <v/>
      </c>
      <c r="F11" s="42">
        <f>E11-D11</f>
        <v/>
      </c>
      <c r="G11" s="42">
        <f>SUM($D$5:D11)</f>
        <v/>
      </c>
      <c r="H11" s="42">
        <f>SUM($E$5:E11)</f>
        <v/>
      </c>
    </row>
    <row r="12" ht="20" customHeight="1">
      <c r="A12" s="43" t="inlineStr">
        <is>
          <t>Ago/26</t>
        </is>
      </c>
      <c r="B12" s="26">
        <f>SUMIFS(Planejado!$O$5:$O$16,Planejado!$B$5:$B$16,"TI")</f>
        <v/>
      </c>
      <c r="C12" s="26">
        <f>SUMIFS(Realizado!$O$5:$O$16,Realizado!$B$5:$B$16,"TI")</f>
        <v/>
      </c>
      <c r="D12" s="26">
        <f>B12</f>
        <v/>
      </c>
      <c r="E12" s="26">
        <f>C12</f>
        <v/>
      </c>
      <c r="F12" s="26">
        <f>E12-D12</f>
        <v/>
      </c>
      <c r="G12" s="26">
        <f>SUM($D$5:D12)</f>
        <v/>
      </c>
      <c r="H12" s="26">
        <f>SUM($E$5:E12)</f>
        <v/>
      </c>
    </row>
    <row r="13" ht="20" customHeight="1">
      <c r="A13" s="41" t="inlineStr">
        <is>
          <t>Set/26</t>
        </is>
      </c>
      <c r="B13" s="42">
        <f>SUMIFS(Planejado!$P$5:$P$16,Planejado!$B$5:$B$16,"TI")</f>
        <v/>
      </c>
      <c r="C13" s="42">
        <f>SUMIFS(Realizado!$P$5:$P$16,Realizado!$B$5:$B$16,"TI")</f>
        <v/>
      </c>
      <c r="D13" s="42">
        <f>B13</f>
        <v/>
      </c>
      <c r="E13" s="42">
        <f>C13</f>
        <v/>
      </c>
      <c r="F13" s="42">
        <f>E13-D13</f>
        <v/>
      </c>
      <c r="G13" s="42">
        <f>SUM($D$5:D13)</f>
        <v/>
      </c>
      <c r="H13" s="42">
        <f>SUM($E$5:E13)</f>
        <v/>
      </c>
    </row>
    <row r="14" ht="20" customHeight="1">
      <c r="A14" s="43" t="inlineStr">
        <is>
          <t>Out/26</t>
        </is>
      </c>
      <c r="B14" s="26">
        <f>SUMIFS(Planejado!$Q$5:$Q$16,Planejado!$B$5:$B$16,"TI")</f>
        <v/>
      </c>
      <c r="C14" s="26">
        <f>SUMIFS(Realizado!$Q$5:$Q$16,Realizado!$B$5:$B$16,"TI")</f>
        <v/>
      </c>
      <c r="D14" s="26">
        <f>B14</f>
        <v/>
      </c>
      <c r="E14" s="26">
        <f>C14</f>
        <v/>
      </c>
      <c r="F14" s="26">
        <f>E14-D14</f>
        <v/>
      </c>
      <c r="G14" s="26">
        <f>SUM($D$5:D14)</f>
        <v/>
      </c>
      <c r="H14" s="26">
        <f>SUM($E$5:E14)</f>
        <v/>
      </c>
    </row>
    <row r="15" ht="20" customHeight="1">
      <c r="A15" s="41" t="inlineStr">
        <is>
          <t>Nov/26</t>
        </is>
      </c>
      <c r="B15" s="42">
        <f>SUMIFS(Planejado!$R$5:$R$16,Planejado!$B$5:$B$16,"TI")</f>
        <v/>
      </c>
      <c r="C15" s="42">
        <f>SUMIFS(Realizado!$R$5:$R$16,Realizado!$B$5:$B$16,"TI")</f>
        <v/>
      </c>
      <c r="D15" s="42">
        <f>B15</f>
        <v/>
      </c>
      <c r="E15" s="42">
        <f>C15</f>
        <v/>
      </c>
      <c r="F15" s="42">
        <f>E15-D15</f>
        <v/>
      </c>
      <c r="G15" s="42">
        <f>SUM($D$5:D15)</f>
        <v/>
      </c>
      <c r="H15" s="42">
        <f>SUM($E$5:E15)</f>
        <v/>
      </c>
    </row>
    <row r="16" ht="20" customHeight="1">
      <c r="A16" s="43" t="inlineStr">
        <is>
          <t>Dez/26</t>
        </is>
      </c>
      <c r="B16" s="26">
        <f>SUMIFS(Planejado!$S$5:$S$16,Planejado!$B$5:$B$16,"TI")</f>
        <v/>
      </c>
      <c r="C16" s="26">
        <f>SUMIFS(Realizado!$S$5:$S$16,Realizado!$B$5:$B$16,"TI")</f>
        <v/>
      </c>
      <c r="D16" s="26">
        <f>B16</f>
        <v/>
      </c>
      <c r="E16" s="26">
        <f>C16</f>
        <v/>
      </c>
      <c r="F16" s="26">
        <f>E16-D16</f>
        <v/>
      </c>
      <c r="G16" s="26">
        <f>SUM($D$5:D16)</f>
        <v/>
      </c>
      <c r="H16" s="26">
        <f>SUM($E$5:E16)</f>
        <v/>
      </c>
    </row>
    <row r="17">
      <c r="A17" s="30" t="inlineStr">
        <is>
          <t>TOTAL</t>
        </is>
      </c>
      <c r="B17" s="31">
        <f>SUM(B5:B16)</f>
        <v/>
      </c>
      <c r="C17" s="31">
        <f>SUM(C5:C16)</f>
        <v/>
      </c>
      <c r="D17" s="31">
        <f>SUM(D5:D16)</f>
        <v/>
      </c>
      <c r="E17" s="31">
        <f>SUM(E5:E16)</f>
        <v/>
      </c>
      <c r="F17" s="31">
        <f>SUM(F5:F16)</f>
        <v/>
      </c>
      <c r="G17" s="30" t="n"/>
      <c r="H17" s="30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TI — Plan.</t>
        </is>
      </c>
      <c r="C4" s="6" t="inlineStr">
        <is>
          <t>TI — Real.</t>
        </is>
      </c>
      <c r="D4" s="6" t="inlineStr">
        <is>
          <t>Total Planejado acum.</t>
        </is>
      </c>
      <c r="E4" s="6" t="inlineStr">
        <is>
          <t>Total Realizado acum.</t>
        </is>
      </c>
      <c r="F4" s="6" t="inlineStr">
        <is>
          <t>Desvio (R$)</t>
        </is>
      </c>
      <c r="G4" s="6" t="inlineStr">
        <is>
          <t>Desvio (%)</t>
        </is>
      </c>
      <c r="H4" s="6" t="inlineStr">
        <is>
          <t>Orçado do ano</t>
        </is>
      </c>
    </row>
    <row r="5" ht="20" customHeight="1">
      <c r="A5" s="44" t="inlineStr">
        <is>
          <t>Pessoal - CLT</t>
        </is>
      </c>
      <c r="B5" s="42">
        <f>SUMIFS(Comparativo!$I$6:$I$17,Comparativo!$E$6:$E$17,$A5,Comparativo!$B$6:$B$17,"TI")</f>
        <v/>
      </c>
      <c r="C5" s="42">
        <f>SUMIFS(Comparativo!$J$6:$J$17,Comparativo!$E$6:$E$17,$A5,Comparativo!$B$6:$B$17,"TI")</f>
        <v/>
      </c>
      <c r="D5" s="42">
        <f>B5</f>
        <v/>
      </c>
      <c r="E5" s="42">
        <f>C5</f>
        <v/>
      </c>
      <c r="F5" s="42">
        <f>E5-D5</f>
        <v/>
      </c>
      <c r="G5" s="45">
        <f>IFERROR(F5/D5,"")</f>
        <v/>
      </c>
      <c r="H5" s="42">
        <f>SUMIFS(Planejado!$T$5:$T$16,Planejado!$G$5:$G$16,$A5)</f>
        <v/>
      </c>
    </row>
    <row r="6" ht="20" customHeight="1">
      <c r="A6" s="46" t="inlineStr">
        <is>
          <t>Pessoal - PJ</t>
        </is>
      </c>
      <c r="B6" s="26">
        <f>SUMIFS(Comparativo!$I$6:$I$17,Comparativo!$E$6:$E$17,$A6,Comparativo!$B$6:$B$17,"TI")</f>
        <v/>
      </c>
      <c r="C6" s="26">
        <f>SUMIFS(Comparativo!$J$6:$J$17,Comparativo!$E$6:$E$17,$A6,Comparativo!$B$6:$B$17,"TI")</f>
        <v/>
      </c>
      <c r="D6" s="26">
        <f>B6</f>
        <v/>
      </c>
      <c r="E6" s="26">
        <f>C6</f>
        <v/>
      </c>
      <c r="F6" s="26">
        <f>E6-D6</f>
        <v/>
      </c>
      <c r="G6" s="47">
        <f>IFERROR(F6/D6,"")</f>
        <v/>
      </c>
      <c r="H6" s="26">
        <f>SUMIFS(Planejado!$T$5:$T$16,Planejado!$G$5:$G$16,$A6)</f>
        <v/>
      </c>
    </row>
    <row r="7" ht="20" customHeight="1">
      <c r="A7" s="44" t="inlineStr">
        <is>
          <t>Licenças de Softwares</t>
        </is>
      </c>
      <c r="B7" s="42">
        <f>SUMIFS(Comparativo!$I$6:$I$17,Comparativo!$E$6:$E$17,$A7,Comparativo!$B$6:$B$17,"TI")</f>
        <v/>
      </c>
      <c r="C7" s="42">
        <f>SUMIFS(Comparativo!$J$6:$J$17,Comparativo!$E$6:$E$17,$A7,Comparativo!$B$6:$B$17,"TI")</f>
        <v/>
      </c>
      <c r="D7" s="42">
        <f>B7</f>
        <v/>
      </c>
      <c r="E7" s="42">
        <f>C7</f>
        <v/>
      </c>
      <c r="F7" s="42">
        <f>E7-D7</f>
        <v/>
      </c>
      <c r="G7" s="45">
        <f>IFERROR(F7/D7,"")</f>
        <v/>
      </c>
      <c r="H7" s="42">
        <f>SUMIFS(Planejado!$T$5:$T$16,Planejado!$G$5:$G$16,$A7)</f>
        <v/>
      </c>
    </row>
    <row r="8" ht="20" customHeight="1">
      <c r="A8" s="46" t="inlineStr">
        <is>
          <t>Custeio de Treinamento</t>
        </is>
      </c>
      <c r="B8" s="26">
        <f>SUMIFS(Comparativo!$I$6:$I$17,Comparativo!$E$6:$E$17,$A8,Comparativo!$B$6:$B$17,"TI")</f>
        <v/>
      </c>
      <c r="C8" s="26">
        <f>SUMIFS(Comparativo!$J$6:$J$17,Comparativo!$E$6:$E$17,$A8,Comparativo!$B$6:$B$17,"TI")</f>
        <v/>
      </c>
      <c r="D8" s="26">
        <f>B8</f>
        <v/>
      </c>
      <c r="E8" s="26">
        <f>C8</f>
        <v/>
      </c>
      <c r="F8" s="26">
        <f>E8-D8</f>
        <v/>
      </c>
      <c r="G8" s="47">
        <f>IFERROR(F8/D8,"")</f>
        <v/>
      </c>
      <c r="H8" s="26">
        <f>SUMIFS(Planejado!$T$5:$T$16,Planejado!$G$5:$G$16,$A8)</f>
        <v/>
      </c>
    </row>
    <row r="9" ht="20" customHeight="1">
      <c r="A9" s="44" t="inlineStr">
        <is>
          <t>Prêmios</t>
        </is>
      </c>
      <c r="B9" s="42">
        <f>SUMIFS(Comparativo!$I$6:$I$17,Comparativo!$E$6:$E$17,$A9,Comparativo!$B$6:$B$17,"TI")</f>
        <v/>
      </c>
      <c r="C9" s="42">
        <f>SUMIFS(Comparativo!$J$6:$J$17,Comparativo!$E$6:$E$17,$A9,Comparativo!$B$6:$B$17,"TI")</f>
        <v/>
      </c>
      <c r="D9" s="42">
        <f>B9</f>
        <v/>
      </c>
      <c r="E9" s="42">
        <f>C9</f>
        <v/>
      </c>
      <c r="F9" s="42">
        <f>E9-D9</f>
        <v/>
      </c>
      <c r="G9" s="45">
        <f>IFERROR(F9/D9,"")</f>
        <v/>
      </c>
      <c r="H9" s="42">
        <f>SUMIFS(Planejado!$T$5:$T$16,Planejado!$G$5:$G$16,$A9)</f>
        <v/>
      </c>
    </row>
    <row r="10" ht="20" customHeight="1">
      <c r="A10" s="46" t="inlineStr">
        <is>
          <t>Equipamentos Eletrônicos Diversos</t>
        </is>
      </c>
      <c r="B10" s="26">
        <f>SUMIFS(Comparativo!$I$6:$I$17,Comparativo!$E$6:$E$17,$A10,Comparativo!$B$6:$B$17,"TI")</f>
        <v/>
      </c>
      <c r="C10" s="26">
        <f>SUMIFS(Comparativo!$J$6:$J$17,Comparativo!$E$6:$E$17,$A10,Comparativo!$B$6:$B$17,"TI")</f>
        <v/>
      </c>
      <c r="D10" s="26">
        <f>B10</f>
        <v/>
      </c>
      <c r="E10" s="26">
        <f>C10</f>
        <v/>
      </c>
      <c r="F10" s="26">
        <f>E10-D10</f>
        <v/>
      </c>
      <c r="G10" s="47">
        <f>IFERROR(F10/D10,"")</f>
        <v/>
      </c>
      <c r="H10" s="26">
        <f>SUMIFS(Planejado!$T$5:$T$16,Planejado!$G$5:$G$16,$A10)</f>
        <v/>
      </c>
    </row>
    <row r="11" ht="20" customHeight="1">
      <c r="A11" s="44" t="inlineStr">
        <is>
          <t>Móveis e Utensílios</t>
        </is>
      </c>
      <c r="B11" s="42">
        <f>SUMIFS(Comparativo!$I$6:$I$17,Comparativo!$E$6:$E$17,$A11,Comparativo!$B$6:$B$17,"TI")</f>
        <v/>
      </c>
      <c r="C11" s="42">
        <f>SUMIFS(Comparativo!$J$6:$J$17,Comparativo!$E$6:$E$17,$A11,Comparativo!$B$6:$B$17,"TI")</f>
        <v/>
      </c>
      <c r="D11" s="42">
        <f>B11</f>
        <v/>
      </c>
      <c r="E11" s="42">
        <f>C11</f>
        <v/>
      </c>
      <c r="F11" s="42">
        <f>E11-D11</f>
        <v/>
      </c>
      <c r="G11" s="45">
        <f>IFERROR(F11/D11,"")</f>
        <v/>
      </c>
      <c r="H11" s="42">
        <f>SUMIFS(Planejado!$T$5:$T$16,Planejado!$G$5:$G$16,$A11)</f>
        <v/>
      </c>
    </row>
    <row r="12">
      <c r="A12" s="30" t="inlineStr">
        <is>
          <t>TOTAL</t>
        </is>
      </c>
      <c r="B12" s="31">
        <f>SUM(B5:B11)</f>
        <v/>
      </c>
      <c r="C12" s="31">
        <f>SUM(C5:C11)</f>
        <v/>
      </c>
      <c r="D12" s="31">
        <f>SUM(D5:D11)</f>
        <v/>
      </c>
      <c r="E12" s="31">
        <f>SUM(E5:E11)</f>
        <v/>
      </c>
      <c r="F12" s="31">
        <f>SUM(F5:F11)</f>
        <v/>
      </c>
      <c r="G12" s="48">
        <f>IFERROR(F12/D12,"")</f>
        <v/>
      </c>
      <c r="H12" s="31">
        <f>SUM(H5:H11)</f>
        <v/>
      </c>
    </row>
  </sheetData>
  <mergeCells count="2">
    <mergeCell ref="A2:G2"/>
    <mergeCell ref="A1:G1"/>
  </mergeCells>
  <conditionalFormatting sqref="F5:F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49" t="inlineStr">
        <is>
          <t>B</t>
        </is>
      </c>
      <c r="B5" s="50" t="inlineStr">
        <is>
          <t>Custo total do Vinicius — A LANÇAR</t>
        </is>
      </c>
      <c r="C5" s="50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5" s="50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5" s="50" t="inlineStr">
        <is>
          <t>Cristiane + RH</t>
        </is>
      </c>
      <c r="F5" s="51" t="inlineStr">
        <is>
          <t>A LANÇAR</t>
        </is>
      </c>
    </row>
    <row r="6" ht="58" customHeight="1">
      <c r="A6" s="52" t="inlineStr">
        <is>
          <t>F</t>
        </is>
      </c>
      <c r="B6" s="53" t="inlineStr">
        <is>
          <t>Jonathan R$ 3.700/mês abaixo do contratado</t>
        </is>
      </c>
      <c r="C6" s="53" t="inlineStr">
        <is>
          <t>Orçado R$ 10.000/mês, realizado R$ 6.300/mês em mai, jun e jul.</t>
        </is>
      </c>
      <c r="D6" s="53" t="inlineStr">
        <is>
          <t>Maior desvio em reais de todo o orçamento: R$ 11.100 em três meses. Se o valor menor for o novo padrão, o planejado de ago a dez deve ser revisado para baixo — sobrariam R$ 18.500 no orçamento do TI.</t>
        </is>
      </c>
      <c r="E6" s="53" t="inlineStr">
        <is>
          <t>Cristiane</t>
        </is>
      </c>
      <c r="F6" s="54" t="inlineStr">
        <is>
          <t>EM ABERTO</t>
        </is>
      </c>
    </row>
    <row r="7" ht="58" customHeight="1">
      <c r="A7" s="49" t="inlineStr">
        <is>
          <t>G</t>
        </is>
      </c>
      <c r="B7" s="50" t="inlineStr">
        <is>
          <t>Elias Benedito zerado nos três meses</t>
        </is>
      </c>
      <c r="C7" s="50" t="inlineStr">
        <is>
          <t>Orçado R$ 1.065/mês como suporte técnico terceirizado, realizado R$ 0 em mai, jun e jul.</t>
        </is>
      </c>
      <c r="D7" s="50" t="inlineStr">
        <is>
          <t>Confirmar se o contrato segue ativo (acionamento sob demanda) ou se foi encerrado. Se encerrado, são R$ 12.780 a liberar no orçamento do ano.</t>
        </is>
      </c>
      <c r="E7" s="50" t="inlineStr">
        <is>
          <t>Cristiane</t>
        </is>
      </c>
      <c r="F7" s="54" t="inlineStr">
        <is>
          <t>EM ABERTO</t>
        </is>
      </c>
    </row>
    <row r="8" ht="58" customHeight="1">
      <c r="A8" s="52" t="inlineStr">
        <is>
          <t>H</t>
        </is>
      </c>
      <c r="B8" s="53" t="inlineStr">
        <is>
          <t>Planejado de jan a abr — CONFERIR</t>
        </is>
      </c>
      <c r="C8" s="53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8" s="53" t="inlineStr">
        <is>
          <t>Se algum contrato tinha valor diferente no 1º quadrimestre, ou se houve bonificação nesse período, o planejado de jan a abr precisa ser corrigido antes de comparar com o realizado.</t>
        </is>
      </c>
      <c r="E8" s="53" t="inlineStr">
        <is>
          <t>Cristiane</t>
        </is>
      </c>
      <c r="F8" s="55" t="inlineStr">
        <is>
          <t>CONFERIR</t>
        </is>
      </c>
    </row>
    <row r="9" ht="58" customHeight="1">
      <c r="A9" s="49" t="inlineStr">
        <is>
          <t>I</t>
        </is>
      </c>
      <c r="B9" s="50" t="inlineStr">
        <is>
          <t>Realizado de jan a abr — A LANÇAR</t>
        </is>
      </c>
      <c r="C9" s="50" t="inlineStr">
        <is>
          <t>As colunas de jan a abr estão em branco na aba Realizado. Só mai, jun e jul foram informados.</t>
        </is>
      </c>
      <c r="D9" s="50" t="inlineStr">
        <is>
          <t>São 4 dos 7 meses já fechados do ano. Sem eles o acumulado e o Painel refletem menos da metade do período decorrido.</t>
        </is>
      </c>
      <c r="E9" s="50" t="inlineStr">
        <is>
          <t>Cristiane</t>
        </is>
      </c>
      <c r="F9" s="51" t="inlineStr">
        <is>
          <t>A LANÇAR</t>
        </is>
      </c>
    </row>
    <row r="10" ht="58" customHeight="1">
      <c r="A10" s="52" t="inlineStr">
        <is>
          <t>J</t>
        </is>
      </c>
      <c r="B10" s="53" t="inlineStr">
        <is>
          <t>Despesas do TI — A LANÇAR</t>
        </is>
      </c>
      <c r="C10" s="53" t="inlineStr">
        <is>
          <t>As 9 linhas de despesas do TI (peças, backup, Adapta, antivírus, Office, sala de reunião, cursos, app de gravação e bonificação) não têm lançamento em nenhum mês.</t>
        </is>
      </c>
      <c r="D10" s="53" t="inlineStr">
        <is>
          <t>São R$ 89.040 orçados no ano, 35% do orçamento do TI. Sem lançamento, o departamento aparece com desvio negativo que é ausência de dado.</t>
        </is>
      </c>
      <c r="E10" s="53" t="inlineStr">
        <is>
          <t>Cristiane</t>
        </is>
      </c>
      <c r="F10" s="51" t="inlineStr">
        <is>
          <t>A LANÇAR</t>
        </is>
      </c>
    </row>
    <row r="11" ht="58" customHeight="1">
      <c r="A11" s="49" t="inlineStr">
        <is>
          <t>1</t>
        </is>
      </c>
      <c r="B11" s="50" t="inlineStr">
        <is>
          <t>Base de meses — reconciliada com a ficha original</t>
        </is>
      </c>
      <c r="C11" s="50" t="inlineStr">
        <is>
          <t>A ficha trazia a coluna TOTAL do TI digitada à mão em bases diferentes por pessoa (Vinicius e Elias em 12 meses, Jonathan em 9) enquanto o grid mensal tinha só 8 colunas. Com o período em jan–dez os três totais batem exatamente: R$ 64.998,30 + R$ 12.780,00 + R$ 90.000,00 = R$ 167.778,30, o valor da ficha. Não era erro de digitação — era o grid que estava incompleto.</t>
        </is>
      </c>
      <c r="D11" s="50" t="inlineStr">
        <is>
          <t>Equipe de TI no valor original de R$ 167.778,30. Jonathan lançado com entrada em abr/26 (9 meses), que é o que explica os R$ 90.000.</t>
        </is>
      </c>
      <c r="E11" s="50" t="inlineStr">
        <is>
          <t>Cristiane</t>
        </is>
      </c>
      <c r="F11" s="56" t="inlineStr">
        <is>
          <t>RESOLVIDO</t>
        </is>
      </c>
    </row>
    <row r="12" ht="58" customHeight="1">
      <c r="A12" s="52" t="inlineStr">
        <is>
          <t>2</t>
        </is>
      </c>
      <c r="B12" s="53" t="inlineStr">
        <is>
          <t>Origem do valor realizado</t>
        </is>
      </c>
      <c r="C12" s="53" t="inlineStr">
        <is>
          <t>Ainda não definido se o realizado virá de lançamento manual, de relatório do financeiro/ERP por centro de custo, ou misto. Até aqui os números vieram informados pela gestora.</t>
        </is>
      </c>
      <c r="D12" s="53" t="inlineStr">
        <is>
          <t>Sem fonte definida o realizado pode divergir da contabilidade e o comparativo perde valor na apresentação à diretoria.</t>
        </is>
      </c>
      <c r="E12" s="53" t="inlineStr">
        <is>
          <t>Cristiane + Financeiro</t>
        </is>
      </c>
      <c r="F12" s="54" t="inlineStr">
        <is>
          <t>EM ABERTO</t>
        </is>
      </c>
    </row>
    <row r="13" ht="58" customHeight="1">
      <c r="A13" s="49" t="inlineStr">
        <is>
          <t>4</t>
        </is>
      </c>
      <c r="B13" s="50" t="inlineStr">
        <is>
          <t>Rateio dos softwares corporativos de TI</t>
        </is>
      </c>
      <c r="C13" s="50" t="inlineStr">
        <is>
          <t>Backup (R$ 9.900), Adapta/IA (R$ 17.400), Antivírus (R$ 2.880) e Office 365 (R$ 4.500) estão marcados na ficha como 'não sei se seria administrativo'. Total no ano: R$ 34.680.</t>
        </is>
      </c>
      <c r="D13" s="50" t="inlineStr">
        <is>
          <t>São 39% das despesas do TI. Se são da empresa toda e ficam no centro de custo de TI, o departamento carrega despesa que não é dele e aparece caro.</t>
        </is>
      </c>
      <c r="E13" s="50" t="inlineStr">
        <is>
          <t>Cristiane + Controladoria</t>
        </is>
      </c>
      <c r="F13" s="54" t="inlineStr">
        <is>
          <t>EM ABERTO</t>
        </is>
      </c>
    </row>
    <row r="14" ht="58" customHeight="1">
      <c r="A14" s="52" t="inlineStr">
        <is>
          <t>5</t>
        </is>
      </c>
      <c r="B14" s="53" t="inlineStr">
        <is>
          <t>Sala de Reunião — recorrente ou pontual?</t>
        </is>
      </c>
      <c r="C14" s="53" t="inlineStr">
        <is>
          <t>R$ 2.800/mês × 12 = R$ 33.600 diluídos linearmente, classificados em Móveis e Utensílios.</t>
        </is>
      </c>
      <c r="D14" s="53" t="inlineStr">
        <is>
          <t>Se for compra pontual (CAPEX), o desvio mensal vai acusar alarme falso todo mês até a compra acontecer, e um pico no mês da compra.</t>
        </is>
      </c>
      <c r="E14" s="53" t="inlineStr">
        <is>
          <t>Cristiane</t>
        </is>
      </c>
      <c r="F14" s="54" t="inlineStr">
        <is>
          <t>EM ABERTO</t>
        </is>
      </c>
    </row>
    <row r="15" ht="58" customHeight="1">
      <c r="A15" s="49" t="inlineStr">
        <is>
          <t>6</t>
        </is>
      </c>
      <c r="B15" s="50" t="inlineStr">
        <is>
          <t>Office 365 — nº de licenças</t>
        </is>
      </c>
      <c r="C15" s="50" t="inlineStr">
        <is>
          <t>A observação diz '10 licenças de software – 60 usuários'. Os dois números não fecham entre si.</t>
        </is>
      </c>
      <c r="D15" s="50" t="inlineStr">
        <is>
          <t>Afeta o valor orçado da linha e a projeção de crescimento.</t>
        </is>
      </c>
      <c r="E15" s="50" t="inlineStr">
        <is>
          <t>Cristiane</t>
        </is>
      </c>
      <c r="F15" s="54" t="inlineStr">
        <is>
          <t>EM ABERTO</t>
        </is>
      </c>
    </row>
    <row r="16" ht="58" customHeight="1">
      <c r="A16" s="52" t="inlineStr">
        <is>
          <t>7</t>
        </is>
      </c>
      <c r="B16" s="53" t="inlineStr">
        <is>
          <t>Critério de competência x caixa</t>
        </is>
      </c>
      <c r="C16" s="53" t="inlineStr">
        <is>
          <t>Definir se o realizado será lançado pela data de pagamento (caixa) ou pelo mês de referência da despesa (competência).</t>
        </is>
      </c>
      <c r="D16" s="53" t="inlineStr">
        <is>
          <t>Misturar os dois critérios gera desvio artificial em meses de virada, principalmente em folha e prêmios.</t>
        </is>
      </c>
      <c r="E16" s="53" t="inlineStr">
        <is>
          <t>Cristiane + Financeiro</t>
        </is>
      </c>
      <c r="F16" s="54" t="inlineStr">
        <is>
          <t>EM ABERTO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15" t="inlineStr">
        <is>
          <t>ROTINA MENSAL</t>
        </is>
      </c>
    </row>
    <row r="5" ht="34" customHeight="1">
      <c r="A5" s="57" t="inlineStr">
        <is>
          <t>1</t>
        </is>
      </c>
      <c r="B5" s="58" t="inlineStr">
        <is>
          <t>Abra a aba REALIZADO e preencha apenas as células amarelas do mês que fechou. Se o item não teve gasto no mês, digite 0 — deixar em branco significa 'ainda não lancei'.</t>
        </is>
      </c>
    </row>
    <row r="6" ht="34" customHeight="1">
      <c r="A6" s="57" t="inlineStr">
        <is>
          <t>2</t>
        </is>
      </c>
      <c r="B6" s="58" t="inlineStr">
        <is>
          <t>Preencha a coluna 'Fonte do dado' (ex.: relatório do financeiro, nota fiscal, extrato do cartão) para o número ser auditável depois.</t>
        </is>
      </c>
    </row>
    <row r="7" ht="34" customHeight="1">
      <c r="A7" s="57" t="inlineStr">
        <is>
          <t>3</t>
        </is>
      </c>
      <c r="B7" s="58" t="inlineStr">
        <is>
          <t>Vá na aba COMPARATIVO e selecione o mês em B3. Todas as demais abas acompanham essa escolha.</t>
        </is>
      </c>
    </row>
    <row r="8" ht="34" customHeight="1">
      <c r="A8" s="57" t="inlineStr">
        <is>
          <t>4</t>
        </is>
      </c>
      <c r="B8" s="58" t="inlineStr">
        <is>
          <t>Confira o PAINEL: ele mostra o desvio por departamento e os 5 maiores estouros do acumulado. É a tela para levar à diretoria.</t>
        </is>
      </c>
    </row>
    <row r="9" ht="34" customHeight="1">
      <c r="A9" s="57" t="inlineStr">
        <is>
          <t>5</t>
        </is>
      </c>
      <c r="B9" s="58" t="inlineStr">
        <is>
          <t>Atualize a aba PENDÊNCIAS conforme as decisões forem sendo tomadas.</t>
        </is>
      </c>
    </row>
    <row r="10" ht="8" customHeight="1"/>
    <row r="11" ht="22" customHeight="1">
      <c r="A11" s="15" t="inlineStr">
        <is>
          <t>COMO LER OS NÚMEROS</t>
        </is>
      </c>
    </row>
    <row r="12" ht="34" customHeight="1">
      <c r="A12" s="57" t="inlineStr">
        <is>
          <t>Desvio positivo (vermelho)</t>
        </is>
      </c>
      <c r="B12" s="58" t="inlineStr">
        <is>
          <t>Gastou ACIMA do orçado.</t>
        </is>
      </c>
    </row>
    <row r="13" ht="34" customHeight="1">
      <c r="A13" s="57" t="inlineStr">
        <is>
          <t>Desvio negativo (verde)</t>
        </is>
      </c>
      <c r="B13" s="58" t="inlineStr">
        <is>
          <t>Gastou ABAIXO do orçado — economia ou despesa ainda não realizada.</t>
        </is>
      </c>
    </row>
    <row r="14" ht="34" customHeight="1">
      <c r="A14" s="57" t="inlineStr">
        <is>
          <t>Planejado acum.</t>
        </is>
      </c>
      <c r="B14" s="58" t="inlineStr">
        <is>
          <t>Soma de maio até o mês selecionado.</t>
        </is>
      </c>
    </row>
    <row r="15" ht="34" customHeight="1">
      <c r="A15" s="57" t="inlineStr">
        <is>
          <t>% Executado</t>
        </is>
      </c>
      <c r="B15" s="58" t="inlineStr">
        <is>
          <t>Realizado acumulado ÷ Planejado acumulado. Perto de 100% = no ritmo.</t>
        </is>
      </c>
    </row>
    <row r="16" ht="34" customHeight="1">
      <c r="A16" s="57" t="inlineStr">
        <is>
          <t>Sem lançamento</t>
        </is>
      </c>
      <c r="B16" s="58" t="inlineStr">
        <is>
          <t>Nada foi lançado no realizado ainda — não confunda com economia.</t>
        </is>
      </c>
    </row>
    <row r="17" ht="8" customHeight="1"/>
    <row r="18" ht="22" customHeight="1">
      <c r="A18" s="15" t="inlineStr">
        <is>
          <t>REGRAS DA PLANILHA</t>
        </is>
      </c>
    </row>
    <row r="19" ht="34" customHeight="1">
      <c r="A19" s="57" t="inlineStr">
        <is>
          <t>Não altere</t>
        </is>
      </c>
      <c r="B19" s="58" t="inlineStr">
        <is>
          <t>As colunas de identificação da aba Realizado (A a G) são fórmulas que espelham a aba Planejado. Alterar quebra o comparativo.</t>
        </is>
      </c>
    </row>
    <row r="20" ht="34" customHeight="1">
      <c r="A20" s="57" t="inlineStr">
        <is>
          <t>Nova linha de orçamento</t>
        </is>
      </c>
      <c r="B20" s="58" t="inlineStr">
        <is>
          <t>Insira na aba Planejado e replique a mesma linha na aba Realizado e na aba Comparativo, mantendo o mesmo ID.</t>
        </is>
      </c>
    </row>
    <row r="21" ht="34" customHeight="1">
      <c r="A21" s="57" t="inlineStr">
        <is>
          <t>Revisão de orçamento</t>
        </is>
      </c>
      <c r="B21" s="58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2026-08-06T11:08:13Z</dcterms:created>
  <dcterms:modified xsi:type="dcterms:W3CDTF">2026-08-06T11:08:13Z</dcterms:modified>
</cp:coreProperties>
</file>