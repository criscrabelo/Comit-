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tas Pagas (resumo)" sheetId="11" state="visible" r:id="rId11"/>
    <sheet name="Contas Pagas (detalhe)" sheetId="12" state="visible" r:id="rId12"/>
  </sheets>
  <definedNames>
    <definedName name="_xlnm._FilterDatabase" localSheetId="1" hidden="1">'Comparativo'!$A$5:$N$23</definedName>
    <definedName name="_xlnm._FilterDatabase" localSheetId="2" hidden="1">'Planejado'!$A$4:$T$22</definedName>
    <definedName name="_xlnm._FilterDatabase" localSheetId="9" hidden="1">'Controle de Equipamentos'!$A$12:$J$52</definedName>
    <definedName name="_xlnm._FilterDatabase" localSheetId="10" hidden="1">'Contas Pagas (resumo)'!$A$4:$L$17</definedName>
    <definedName name="_xlnm._FilterDatabase" localSheetId="11" hidden="1">'Contas Pagas (detalhe)'!$A$4:$H$104</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6">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6">
    <fill>
      <patternFill/>
    </fill>
    <fill>
      <patternFill patternType="gray125"/>
    </fill>
    <fill>
      <patternFill patternType="solid">
        <fgColor rgb="001F3864"/>
      </patternFill>
    </fill>
    <fill>
      <patternFill patternType="solid">
        <fgColor rgb="002E5395"/>
      </patternFill>
    </fill>
    <fill>
      <patternFill patternType="solid">
        <fgColor rgb="00F2F2F2"/>
      </patternFill>
    </fill>
    <fill>
      <patternFill patternType="solid">
        <fgColor rgb="00D9E1F2"/>
      </patternFill>
    </fill>
    <fill>
      <patternFill patternType="solid">
        <fgColor rgb="007B3F00"/>
      </patternFill>
    </fill>
    <fill>
      <patternFill patternType="solid">
        <fgColor rgb="00FFF7DC"/>
      </patternFill>
    </fill>
    <fill>
      <patternFill patternType="solid">
        <fgColor rgb="00FFFFFF"/>
      </patternFill>
    </fill>
    <fill>
      <patternFill patternType="solid">
        <fgColor rgb="001E6B3A"/>
      </patternFill>
    </fill>
    <fill>
      <patternFill patternType="solid">
        <fgColor rgb="00E2EFDA"/>
      </patternFill>
    </fill>
    <fill>
      <patternFill patternType="solid">
        <fgColor rgb="00F8CBAD"/>
      </patternFill>
    </fill>
    <fill>
      <patternFill patternType="solid">
        <fgColor rgb="00FFE699"/>
      </patternFill>
    </fill>
    <fill>
      <patternFill patternType="solid">
        <fgColor rgb="00FFD966"/>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3" fillId="3" borderId="1" applyAlignment="1" pivotButton="0" quotePrefix="0" xfId="0">
      <alignment horizontal="center" vertical="center" wrapText="1"/>
    </xf>
    <xf numFmtId="0" fontId="14" fillId="8" borderId="1" pivotButton="0" quotePrefix="0" xfId="0"/>
    <xf numFmtId="164" fontId="14" fillId="8" borderId="1" pivotButton="0" quotePrefix="0" xfId="0"/>
    <xf numFmtId="165" fontId="14" fillId="8" borderId="1" applyAlignment="1" pivotButton="0" quotePrefix="0" xfId="0">
      <alignment horizontal="center"/>
    </xf>
    <xf numFmtId="0" fontId="14" fillId="8" borderId="1" applyAlignment="1" pivotButton="0" quotePrefix="0" xfId="0">
      <alignment horizontal="center"/>
    </xf>
    <xf numFmtId="0" fontId="15" fillId="5" borderId="1" pivotButton="0" quotePrefix="0" xfId="0"/>
    <xf numFmtId="164" fontId="15" fillId="5" borderId="1" pivotButton="0" quotePrefix="0" xfId="0"/>
    <xf numFmtId="165" fontId="15" fillId="5" borderId="1" applyAlignment="1" pivotButton="0" quotePrefix="0" xfId="0">
      <alignment horizontal="center"/>
    </xf>
    <xf numFmtId="0" fontId="15" fillId="5" borderId="1" applyAlignment="1" pivotButton="0" quotePrefix="0" xfId="0">
      <alignment horizontal="center"/>
    </xf>
    <xf numFmtId="0" fontId="16" fillId="9" borderId="0" applyAlignment="1" pivotButton="0" quotePrefix="0" xfId="0">
      <alignment vertical="center" indent="1"/>
    </xf>
    <xf numFmtId="0" fontId="9" fillId="8" borderId="1" pivotButton="0" quotePrefix="0" xfId="0"/>
    <xf numFmtId="164" fontId="17" fillId="8" borderId="1" applyAlignment="1" pivotButton="0" quotePrefix="0" xfId="0">
      <alignment horizontal="right" vertical="center"/>
    </xf>
    <xf numFmtId="0" fontId="2" fillId="8" borderId="1" applyAlignment="1" pivotButton="0" quotePrefix="0" xfId="0">
      <alignment vertical="center" indent="1"/>
    </xf>
    <xf numFmtId="0" fontId="18" fillId="10" borderId="1" pivotButton="0" quotePrefix="0" xfId="0"/>
    <xf numFmtId="164" fontId="19" fillId="10" borderId="1" applyAlignment="1" pivotButton="0" quotePrefix="0" xfId="0">
      <alignment horizontal="right" vertical="center"/>
    </xf>
    <xf numFmtId="0" fontId="2" fillId="10" borderId="1" applyAlignment="1" pivotButton="0" quotePrefix="0" xfId="0">
      <alignment vertical="center" indent="1"/>
    </xf>
    <xf numFmtId="165" fontId="17" fillId="8" borderId="1" applyAlignment="1" pivotButton="0" quotePrefix="0" xfId="0">
      <alignment horizontal="right" vertical="center"/>
    </xf>
    <xf numFmtId="0" fontId="20" fillId="0" borderId="0" applyAlignment="1" pivotButton="0" quotePrefix="0" xfId="0">
      <alignment vertical="center" indent="1"/>
    </xf>
    <xf numFmtId="0" fontId="21" fillId="9"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2" fillId="0" borderId="1" pivotButton="0" quotePrefix="0" xfId="0"/>
    <xf numFmtId="165" fontId="4" fillId="0" borderId="1" pivotButton="0" quotePrefix="0" xfId="0"/>
    <xf numFmtId="0" fontId="21" fillId="3" borderId="0" applyAlignment="1" pivotButton="0" quotePrefix="0" xfId="0">
      <alignment vertical="center" indent="1"/>
    </xf>
    <xf numFmtId="0" fontId="10" fillId="7"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6" fillId="2" borderId="1" pivotButton="0" quotePrefix="0" xfId="0"/>
    <xf numFmtId="164" fontId="6" fillId="2" borderId="1" pivotButton="0" quotePrefix="0" xfId="0"/>
    <xf numFmtId="165" fontId="6" fillId="2" borderId="1" pivotButton="0" quotePrefix="0" xfId="0"/>
    <xf numFmtId="164" fontId="5" fillId="5" borderId="1" pivotButton="0" quotePrefix="0" xfId="0"/>
    <xf numFmtId="0" fontId="3" fillId="6" borderId="1" applyAlignment="1" pivotButton="0" quotePrefix="0" xfId="0">
      <alignment horizontal="center" vertical="center" wrapText="1"/>
    </xf>
    <xf numFmtId="0" fontId="7" fillId="4" borderId="1" applyAlignment="1" pivotButton="0" quotePrefix="0" xfId="0">
      <alignment horizontal="left" vertical="center"/>
    </xf>
    <xf numFmtId="0" fontId="7" fillId="4" borderId="1" applyAlignment="1" pivotButton="0" quotePrefix="0" xfId="0">
      <alignment horizontal="left" vertical="center" wrapText="1"/>
    </xf>
    <xf numFmtId="164" fontId="4" fillId="7" borderId="1" pivotButton="0" quotePrefix="0" xfId="0"/>
    <xf numFmtId="0" fontId="8" fillId="7" borderId="1" applyAlignment="1" pivotButton="0" quotePrefix="0" xfId="0">
      <alignment vertical="center" wrapText="1"/>
    </xf>
    <xf numFmtId="0" fontId="6" fillId="6" borderId="1" pivotButton="0" quotePrefix="0" xfId="0"/>
    <xf numFmtId="164" fontId="6" fillId="6" borderId="1" pivotButton="0" quotePrefix="0" xfId="0"/>
    <xf numFmtId="0" fontId="4" fillId="8" borderId="1" applyAlignment="1" pivotButton="0" quotePrefix="0" xfId="0">
      <alignment horizontal="center"/>
    </xf>
    <xf numFmtId="164" fontId="4" fillId="8" borderId="1" pivotButton="0" quotePrefix="0" xfId="0"/>
    <xf numFmtId="0" fontId="4" fillId="4" borderId="1" applyAlignment="1" pivotButton="0" quotePrefix="0" xfId="0">
      <alignment horizontal="center"/>
    </xf>
    <xf numFmtId="0" fontId="4" fillId="8" borderId="1" pivotButton="0" quotePrefix="0" xfId="0"/>
    <xf numFmtId="165" fontId="4" fillId="8"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165" fontId="6" fillId="2" borderId="1" applyAlignment="1" pivotButton="0" quotePrefix="0" xfId="0">
      <alignment horizontal="center"/>
    </xf>
    <xf numFmtId="0" fontId="4" fillId="8" borderId="1" applyAlignment="1" pivotButton="0" quotePrefix="0" xfId="0">
      <alignment horizontal="center" vertical="top" wrapText="1"/>
    </xf>
    <xf numFmtId="0" fontId="4" fillId="8" borderId="1" applyAlignment="1" pivotButton="0" quotePrefix="0" xfId="0">
      <alignment horizontal="left" vertical="top" wrapText="1"/>
    </xf>
    <xf numFmtId="0" fontId="5" fillId="11" borderId="1" applyAlignment="1" pivotButton="0" quotePrefix="0" xfId="0">
      <alignment horizontal="center" vertical="top" wrapText="1"/>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5" fillId="10"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9" fillId="0" borderId="1" applyAlignment="1" pivotButton="0" quotePrefix="0" xfId="0">
      <alignment horizontal="left" vertical="top"/>
    </xf>
    <xf numFmtId="0" fontId="25"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1"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3" fillId="4" borderId="0" applyAlignment="1" pivotButton="0" quotePrefix="0" xfId="0">
      <alignment vertical="center" indent="1"/>
    </xf>
    <xf numFmtId="0" fontId="21" fillId="6"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7" borderId="1" pivotButton="0" quotePrefix="0" xfId="0"/>
    <xf numFmtId="0" fontId="3" fillId="9" borderId="1" applyAlignment="1" pivotButton="0" quotePrefix="0" xfId="0">
      <alignment horizontal="center" vertical="center" wrapText="1"/>
    </xf>
    <xf numFmtId="1" fontId="4" fillId="4" borderId="1" applyAlignment="1" pivotButton="0" quotePrefix="0" xfId="0">
      <alignment horizontal="center"/>
    </xf>
    <xf numFmtId="0" fontId="4" fillId="15" borderId="1" pivotButton="0" quotePrefix="0" xfId="0"/>
    <xf numFmtId="0" fontId="4" fillId="15" borderId="1" applyAlignment="1" pivotButton="0" quotePrefix="0" xfId="0">
      <alignment horizontal="center"/>
    </xf>
    <xf numFmtId="164" fontId="4" fillId="15" borderId="1" pivotButton="0" quotePrefix="0" xfId="0"/>
    <xf numFmtId="164" fontId="5" fillId="15" borderId="1" pivotButton="0" quotePrefix="0" xfId="0"/>
    <xf numFmtId="0" fontId="24" fillId="15" borderId="1" applyAlignment="1" pivotButton="0" quotePrefix="0" xfId="0">
      <alignment vertical="center" wrapText="1"/>
    </xf>
    <xf numFmtId="164" fontId="5" fillId="8" borderId="1" pivotButton="0" quotePrefix="0" xfId="0"/>
    <xf numFmtId="0" fontId="24" fillId="8" borderId="1" applyAlignment="1" pivotButton="0" quotePrefix="0" xfId="0">
      <alignment vertical="center" wrapText="1"/>
    </xf>
    <xf numFmtId="0" fontId="8" fillId="0" borderId="1" pivotButton="0" quotePrefix="0" xfId="0"/>
    <xf numFmtId="164" fontId="8" fillId="0" borderId="1" pivotButton="0" quotePrefix="0" xfId="0"/>
    <xf numFmtId="0" fontId="5" fillId="0" borderId="0"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Mensal'!G4</f>
            </strRef>
          </tx>
          <spPr>
            <a:ln>
              <a:prstDash val="solid"/>
            </a:ln>
          </spPr>
          <marker>
            <symbol val="none"/>
            <spPr>
              <a:ln>
                <a:prstDash val="solid"/>
              </a:ln>
            </spPr>
          </marker>
          <cat>
            <numRef>
              <f>'Evolução Mensal'!$A$5:$A$16</f>
            </numRef>
          </cat>
          <val>
            <numRef>
              <f>'Evolução Mensal'!$G$5:$G$16</f>
            </numRef>
          </val>
        </ser>
        <ser>
          <idx val="1"/>
          <order val="1"/>
          <tx>
            <strRef>
              <f>'Evolução Mensal'!H4</f>
            </strRef>
          </tx>
          <spPr>
            <a:ln>
              <a:prstDash val="solid"/>
            </a:ln>
          </spPr>
          <marker>
            <symbol val="none"/>
            <spPr>
              <a:ln>
                <a:prstDash val="solid"/>
              </a:ln>
            </spPr>
          </marker>
          <cat>
            <numRef>
              <f>'Evolução Mensal'!$A$5:$A$16</f>
            </numRef>
          </cat>
          <val>
            <numRef>
              <f>'Evolução Mensal'!$H$5:$H$16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Mensal'!D4</f>
            </strRef>
          </tx>
          <spPr>
            <a:ln>
              <a:prstDash val="solid"/>
            </a:ln>
          </spPr>
          <marker>
            <symbol val="none"/>
            <spPr>
              <a:ln>
                <a:prstDash val="solid"/>
              </a:ln>
            </spPr>
          </marker>
          <cat>
            <numRef>
              <f>'Evolução Mensal'!$A$5:$A$16</f>
            </numRef>
          </cat>
          <val>
            <numRef>
              <f>'Evolução Mensal'!$D$5:$D$16</f>
            </numRef>
          </val>
        </ser>
        <ser>
          <idx val="1"/>
          <order val="1"/>
          <tx>
            <strRef>
              <f>'Evolução Mensal'!E4</f>
            </strRef>
          </tx>
          <spPr>
            <a:ln>
              <a:prstDash val="solid"/>
            </a:ln>
          </spPr>
          <marker>
            <symbol val="none"/>
            <spPr>
              <a:ln>
                <a:prstDash val="solid"/>
              </a:ln>
            </spPr>
          </marker>
          <cat>
            <numRef>
              <f>'Evolução Mensal'!$A$5:$A$16</f>
            </numRef>
          </cat>
          <val>
            <numRef>
              <f>'Evolução Mensal'!$E$5:$E$16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5" ht="30" customHeight="1">
      <c r="A5" s="6" t="inlineStr">
        <is>
          <t>Departamento</t>
        </is>
      </c>
      <c r="B5" s="6" t="inlineStr">
        <is>
          <t>Bloco</t>
        </is>
      </c>
      <c r="C5" s="6" t="inlineStr">
        <is>
          <t>Orçado do ano</t>
        </is>
      </c>
      <c r="D5" s="6" t="inlineStr">
        <is>
          <t>Planejado acum.</t>
        </is>
      </c>
      <c r="E5" s="6" t="inlineStr">
        <is>
          <t>Realizado acum.</t>
        </is>
      </c>
      <c r="F5" s="6" t="inlineStr">
        <is>
          <t>Desvio (R$)</t>
        </is>
      </c>
      <c r="G5" s="6" t="inlineStr">
        <is>
          <t>Desvio (%)</t>
        </is>
      </c>
      <c r="H5" s="6" t="inlineStr">
        <is>
          <t>% Executado do ano</t>
        </is>
      </c>
      <c r="I5" s="6" t="inlineStr">
        <is>
          <t>Linhas lançadas</t>
        </is>
      </c>
    </row>
    <row r="6" ht="22" customHeight="1">
      <c r="A6" s="7" t="inlineStr">
        <is>
          <t>TI</t>
        </is>
      </c>
      <c r="B6" s="7" t="inlineStr">
        <is>
          <t>Equipe</t>
        </is>
      </c>
      <c r="C6" s="8">
        <f>SUMIFS(Planejado!$T$5:$T$22,Planejado!$B$5:$B$22,"TI",Planejado!$C$5:$C$22,"Equipe")</f>
        <v/>
      </c>
      <c r="D6" s="8">
        <f>SUMIFS(Comparativo!$I$6:$I$23,Comparativo!$B$6:$B$23,"TI",Comparativo!$C$6:$C$23,"Equipe")</f>
        <v/>
      </c>
      <c r="E6" s="8">
        <f>SUMIFS(Comparativo!$J$6:$J$23,Comparativo!$B$6:$B$23,"TI",Comparativo!$C$6:$C$23,"Equipe")</f>
        <v/>
      </c>
      <c r="F6" s="8">
        <f>E6-D6</f>
        <v/>
      </c>
      <c r="G6" s="9">
        <f>IFERROR(F6/D6,"")</f>
        <v/>
      </c>
      <c r="H6" s="9">
        <f>IFERROR(E6/C6,"")</f>
        <v/>
      </c>
      <c r="I6" s="10">
        <f>COUNTIFS(Comparativo!$P$6:$P$23,"&gt;0",Comparativo!$B$6:$B$23,"TI",Comparativo!$C$6:$C$23,"Equipe")&amp;" de "&amp;COUNTIFS(Comparativo!$A$6:$A$23,"?*",Comparativo!$B$6:$B$23,"TI",Comparativo!$C$6:$C$23,"Equipe")</f>
        <v/>
      </c>
    </row>
    <row r="7" ht="22" customHeight="1">
      <c r="A7" s="7" t="inlineStr">
        <is>
          <t>TI</t>
        </is>
      </c>
      <c r="B7" s="7" t="inlineStr">
        <is>
          <t>Despesas</t>
        </is>
      </c>
      <c r="C7" s="8">
        <f>SUMIFS(Planejado!$T$5:$T$22,Planejado!$B$5:$B$22,"TI",Planejado!$C$5:$C$22,"Despesas")</f>
        <v/>
      </c>
      <c r="D7" s="8">
        <f>SUMIFS(Comparativo!$I$6:$I$23,Comparativo!$B$6:$B$23,"TI",Comparativo!$C$6:$C$23,"Despesas")</f>
        <v/>
      </c>
      <c r="E7" s="8">
        <f>SUMIFS(Comparativo!$J$6:$J$23,Comparativo!$B$6:$B$23,"TI",Comparativo!$C$6:$C$23,"Despesas")</f>
        <v/>
      </c>
      <c r="F7" s="8">
        <f>E7-D7</f>
        <v/>
      </c>
      <c r="G7" s="9">
        <f>IFERROR(F7/D7,"")</f>
        <v/>
      </c>
      <c r="H7" s="9">
        <f>IFERROR(E7/C7,"")</f>
        <v/>
      </c>
      <c r="I7" s="10">
        <f>COUNTIFS(Comparativo!$P$6:$P$23,"&gt;0",Comparativo!$B$6:$B$23,"TI",Comparativo!$C$6:$C$23,"Despesas")&amp;" de "&amp;COUNTIFS(Comparativo!$A$6:$A$23,"?*",Comparativo!$B$6:$B$23,"TI",Comparativo!$C$6:$C$23,"Despesas")</f>
        <v/>
      </c>
    </row>
    <row r="8" ht="22" customHeight="1">
      <c r="A8" s="11" t="inlineStr">
        <is>
          <t>TI</t>
        </is>
      </c>
      <c r="B8" s="11" t="inlineStr">
        <is>
          <t>Equipe + Despesas</t>
        </is>
      </c>
      <c r="C8" s="12">
        <f>SUMIFS(Planejado!$T$5:$T$22,Planejado!$B$5:$B$22,"TI")</f>
        <v/>
      </c>
      <c r="D8" s="12">
        <f>SUMIFS(Comparativo!$I$6:$I$23,Comparativo!$B$6:$B$23,"TI")</f>
        <v/>
      </c>
      <c r="E8" s="12">
        <f>SUMIFS(Comparativo!$J$6:$J$23,Comparativo!$B$6:$B$23,"TI")</f>
        <v/>
      </c>
      <c r="F8" s="12">
        <f>E8-D8</f>
        <v/>
      </c>
      <c r="G8" s="13">
        <f>IFERROR(F8/D8,"")</f>
        <v/>
      </c>
      <c r="H8" s="13">
        <f>IFERROR(E8/C8,"")</f>
        <v/>
      </c>
      <c r="I8" s="14">
        <f>COUNTIFS(Comparativo!$P$6:$P$23,"&gt;0",Comparativo!$B$6:$B$23,"TI")&amp;" de "&amp;COUNTIFS(Comparativo!$A$6:$A$23,"?*",Comparativo!$B$6:$B$23,"TI")</f>
        <v/>
      </c>
    </row>
    <row r="11" ht="24" customHeight="1">
      <c r="A11" s="15" t="inlineStr">
        <is>
          <t>ECONOMIA GERADA — acumulado de janeiro até o mês de referência</t>
        </is>
      </c>
    </row>
    <row r="12" ht="20" customHeight="1">
      <c r="A12" s="16" t="inlineStr">
        <is>
          <t>Economia bruta</t>
        </is>
      </c>
      <c r="B12" s="16" t="n"/>
      <c r="C12" s="17">
        <f>-SUMIF(Comparativo!$Q$6:$Q$23,"&lt;0")</f>
        <v/>
      </c>
      <c r="D12" s="18" t="inlineStr">
        <is>
          <t>Soma de tudo que ficou abaixo do orçado</t>
        </is>
      </c>
      <c r="E12" s="18" t="n"/>
      <c r="F12" s="18" t="n"/>
      <c r="G12" s="18" t="n"/>
      <c r="H12" s="18" t="n"/>
      <c r="I12" s="18" t="n"/>
    </row>
    <row r="13" ht="20" customHeight="1">
      <c r="A13" s="16" t="inlineStr">
        <is>
          <t>(−) Gastos acima do orçado</t>
        </is>
      </c>
      <c r="B13" s="16" t="n"/>
      <c r="C13" s="17">
        <f>-SUMIF(Comparativo!$Q$6:$Q$23,"&gt;0")</f>
        <v/>
      </c>
      <c r="D13" s="18" t="inlineStr">
        <is>
          <t>Estouros que consomem parte da economia</t>
        </is>
      </c>
      <c r="E13" s="18" t="n"/>
      <c r="F13" s="18" t="n"/>
      <c r="G13" s="18" t="n"/>
      <c r="H13" s="18" t="n"/>
      <c r="I13" s="18" t="n"/>
    </row>
    <row r="14" ht="26" customHeight="1">
      <c r="A14" s="19">
        <f> ECONOMIA LÍQUIDA</f>
        <v/>
      </c>
      <c r="B14" s="19" t="n"/>
      <c r="C14" s="20">
        <f>-SUM(Comparativo!$Q$6:$Q$23)</f>
        <v/>
      </c>
      <c r="D14" s="21" t="inlineStr">
        <is>
          <t>O número defensável: só linhas comparáveis</t>
        </is>
      </c>
      <c r="E14" s="21" t="n"/>
      <c r="F14" s="21" t="n"/>
      <c r="G14" s="21" t="n"/>
      <c r="H14" s="21" t="n"/>
      <c r="I14" s="21" t="n"/>
    </row>
    <row r="15" ht="20" customHeight="1">
      <c r="A15" s="16" t="inlineStr">
        <is>
          <t>Projeção para o ano</t>
        </is>
      </c>
      <c r="B15" s="16" t="n"/>
      <c r="C15" s="17">
        <f>IFERROR(-SUM(Comparativo!$Q$6:$Q$23)/Comparativo!$D$3*12,"")</f>
        <v/>
      </c>
      <c r="D15" s="18" t="inlineStr">
        <is>
          <t>Extrapolação linear, se o padrão dos meses fechados se mantiver</t>
        </is>
      </c>
      <c r="E15" s="18" t="n"/>
      <c r="F15" s="18" t="n"/>
      <c r="G15" s="18" t="n"/>
      <c r="H15" s="18" t="n"/>
      <c r="I15" s="18" t="n"/>
    </row>
    <row r="16" ht="20" customHeight="1">
      <c r="A16" s="16" t="inlineStr">
        <is>
          <t>% sobre o orçado do período</t>
        </is>
      </c>
      <c r="B16" s="16" t="n"/>
      <c r="C16" s="22">
        <f>IFERROR(-SUM(Comparativo!$Q$6:$Q$23)/SUM(Comparativo!$S$6:$S$23),"")</f>
        <v/>
      </c>
      <c r="D16" s="18" t="inlineStr">
        <is>
          <t>Economia líquida ÷ planejado das linhas que entram na conta</t>
        </is>
      </c>
      <c r="E16" s="18" t="n"/>
      <c r="F16" s="18" t="n"/>
      <c r="G16" s="18" t="n"/>
      <c r="H16" s="18" t="n"/>
      <c r="I16" s="18" t="n"/>
    </row>
    <row r="17" ht="18" customHeight="1">
      <c r="A17" s="23" t="inlineStr">
        <is>
          <t>Fora desta conta: linhas sem nenhum lançamento. Só entra o que foi efetivamente lançado e é comparável.</t>
        </is>
      </c>
    </row>
    <row r="19" ht="22" customHeight="1">
      <c r="A19" s="24" t="inlineStr">
        <is>
          <t>DE ONDE VEIO A ECONOMIA (top 5)</t>
        </is>
      </c>
    </row>
    <row r="20" ht="30" customHeight="1">
      <c r="A20" s="6" t="inlineStr">
        <is>
          <t>#</t>
        </is>
      </c>
      <c r="B20" s="6" t="inlineStr">
        <is>
          <t>Item</t>
        </is>
      </c>
      <c r="C20" s="6" t="inlineStr">
        <is>
          <t>Departamento</t>
        </is>
      </c>
      <c r="D20" s="6" t="inlineStr">
        <is>
          <t>Planejado acum.</t>
        </is>
      </c>
      <c r="E20" s="6" t="inlineStr">
        <is>
          <t>Realizado acum.</t>
        </is>
      </c>
      <c r="F20" s="6" t="inlineStr">
        <is>
          <t>Economia (R$)</t>
        </is>
      </c>
      <c r="G20" s="6" t="inlineStr">
        <is>
          <t>% da linha</t>
        </is>
      </c>
      <c r="H20" s="6" t="inlineStr"/>
      <c r="I20" s="6" t="inlineStr"/>
    </row>
    <row r="21">
      <c r="A21" s="25" t="n">
        <v>1</v>
      </c>
      <c r="B21" s="26">
        <f>IFERROR(INDEX(Comparativo!$D$6:$D$23,MATCH(LARGE(Comparativo!$R$6:$R$23,A21),Comparativo!$R$6:$R$23,0)),"")</f>
        <v/>
      </c>
      <c r="C21" s="26">
        <f>IFERROR(INDEX(Comparativo!$B$6:$B$23,MATCH(LARGE(Comparativo!$R$6:$R$23,A21),Comparativo!$R$6:$R$23,0)),"")</f>
        <v/>
      </c>
      <c r="D21" s="27">
        <f>IFERROR(INDEX(Comparativo!$I$6:$I$23,MATCH(LARGE(Comparativo!$R$6:$R$23,A21),Comparativo!$R$6:$R$23,0)),"")</f>
        <v/>
      </c>
      <c r="E21" s="27">
        <f>IFERROR(INDEX(Comparativo!$J$6:$J$23,MATCH(LARGE(Comparativo!$R$6:$R$23,A21),Comparativo!$R$6:$R$23,0)),"")</f>
        <v/>
      </c>
      <c r="F21" s="28">
        <f>IFERROR(-IFERROR(INDEX(Comparativo!$K$6:$K$23,MATCH(LARGE(Comparativo!$R$6:$R$23,A21),Comparativo!$R$6:$R$23,0)),""),"")</f>
        <v/>
      </c>
      <c r="G21" s="29">
        <f>IFERROR(F21/D21,"")</f>
        <v/>
      </c>
    </row>
    <row r="22">
      <c r="A22" s="25" t="n">
        <v>2</v>
      </c>
      <c r="B22" s="26">
        <f>IFERROR(INDEX(Comparativo!$D$6:$D$23,MATCH(LARGE(Comparativo!$R$6:$R$23,A22),Comparativo!$R$6:$R$23,0)),"")</f>
        <v/>
      </c>
      <c r="C22" s="26">
        <f>IFERROR(INDEX(Comparativo!$B$6:$B$23,MATCH(LARGE(Comparativo!$R$6:$R$23,A22),Comparativo!$R$6:$R$23,0)),"")</f>
        <v/>
      </c>
      <c r="D22" s="27">
        <f>IFERROR(INDEX(Comparativo!$I$6:$I$23,MATCH(LARGE(Comparativo!$R$6:$R$23,A22),Comparativo!$R$6:$R$23,0)),"")</f>
        <v/>
      </c>
      <c r="E22" s="27">
        <f>IFERROR(INDEX(Comparativo!$J$6:$J$23,MATCH(LARGE(Comparativo!$R$6:$R$23,A22),Comparativo!$R$6:$R$23,0)),"")</f>
        <v/>
      </c>
      <c r="F22" s="28">
        <f>IFERROR(-IFERROR(INDEX(Comparativo!$K$6:$K$23,MATCH(LARGE(Comparativo!$R$6:$R$23,A22),Comparativo!$R$6:$R$23,0)),""),"")</f>
        <v/>
      </c>
      <c r="G22" s="29">
        <f>IFERROR(F22/D22,"")</f>
        <v/>
      </c>
    </row>
    <row r="23">
      <c r="A23" s="25" t="n">
        <v>3</v>
      </c>
      <c r="B23" s="26">
        <f>IFERROR(INDEX(Comparativo!$D$6:$D$23,MATCH(LARGE(Comparativo!$R$6:$R$23,A23),Comparativo!$R$6:$R$23,0)),"")</f>
        <v/>
      </c>
      <c r="C23" s="26">
        <f>IFERROR(INDEX(Comparativo!$B$6:$B$23,MATCH(LARGE(Comparativo!$R$6:$R$23,A23),Comparativo!$R$6:$R$23,0)),"")</f>
        <v/>
      </c>
      <c r="D23" s="27">
        <f>IFERROR(INDEX(Comparativo!$I$6:$I$23,MATCH(LARGE(Comparativo!$R$6:$R$23,A23),Comparativo!$R$6:$R$23,0)),"")</f>
        <v/>
      </c>
      <c r="E23" s="27">
        <f>IFERROR(INDEX(Comparativo!$J$6:$J$23,MATCH(LARGE(Comparativo!$R$6:$R$23,A23),Comparativo!$R$6:$R$23,0)),"")</f>
        <v/>
      </c>
      <c r="F23" s="28">
        <f>IFERROR(-IFERROR(INDEX(Comparativo!$K$6:$K$23,MATCH(LARGE(Comparativo!$R$6:$R$23,A23),Comparativo!$R$6:$R$23,0)),""),"")</f>
        <v/>
      </c>
      <c r="G23" s="29">
        <f>IFERROR(F23/D23,"")</f>
        <v/>
      </c>
    </row>
    <row r="24">
      <c r="A24" s="25" t="n">
        <v>4</v>
      </c>
      <c r="B24" s="26">
        <f>IFERROR(INDEX(Comparativo!$D$6:$D$23,MATCH(LARGE(Comparativo!$R$6:$R$23,A24),Comparativo!$R$6:$R$23,0)),"")</f>
        <v/>
      </c>
      <c r="C24" s="26">
        <f>IFERROR(INDEX(Comparativo!$B$6:$B$23,MATCH(LARGE(Comparativo!$R$6:$R$23,A24),Comparativo!$R$6:$R$23,0)),"")</f>
        <v/>
      </c>
      <c r="D24" s="27">
        <f>IFERROR(INDEX(Comparativo!$I$6:$I$23,MATCH(LARGE(Comparativo!$R$6:$R$23,A24),Comparativo!$R$6:$R$23,0)),"")</f>
        <v/>
      </c>
      <c r="E24" s="27">
        <f>IFERROR(INDEX(Comparativo!$J$6:$J$23,MATCH(LARGE(Comparativo!$R$6:$R$23,A24),Comparativo!$R$6:$R$23,0)),"")</f>
        <v/>
      </c>
      <c r="F24" s="28">
        <f>IFERROR(-IFERROR(INDEX(Comparativo!$K$6:$K$23,MATCH(LARGE(Comparativo!$R$6:$R$23,A24),Comparativo!$R$6:$R$23,0)),""),"")</f>
        <v/>
      </c>
      <c r="G24" s="29">
        <f>IFERROR(F24/D24,"")</f>
        <v/>
      </c>
    </row>
    <row r="25">
      <c r="A25" s="25" t="n">
        <v>5</v>
      </c>
      <c r="B25" s="26">
        <f>IFERROR(INDEX(Comparativo!$D$6:$D$23,MATCH(LARGE(Comparativo!$R$6:$R$23,A25),Comparativo!$R$6:$R$23,0)),"")</f>
        <v/>
      </c>
      <c r="C25" s="26">
        <f>IFERROR(INDEX(Comparativo!$B$6:$B$23,MATCH(LARGE(Comparativo!$R$6:$R$23,A25),Comparativo!$R$6:$R$23,0)),"")</f>
        <v/>
      </c>
      <c r="D25" s="27">
        <f>IFERROR(INDEX(Comparativo!$I$6:$I$23,MATCH(LARGE(Comparativo!$R$6:$R$23,A25),Comparativo!$R$6:$R$23,0)),"")</f>
        <v/>
      </c>
      <c r="E25" s="27">
        <f>IFERROR(INDEX(Comparativo!$J$6:$J$23,MATCH(LARGE(Comparativo!$R$6:$R$23,A25),Comparativo!$R$6:$R$23,0)),"")</f>
        <v/>
      </c>
      <c r="F25" s="28">
        <f>IFERROR(-IFERROR(INDEX(Comparativo!$K$6:$K$23,MATCH(LARGE(Comparativo!$R$6:$R$23,A25),Comparativo!$R$6:$R$23,0)),""),"")</f>
        <v/>
      </c>
      <c r="G25" s="29">
        <f>IFERROR(F25/D25,"")</f>
        <v/>
      </c>
    </row>
    <row r="28" ht="22" customHeight="1">
      <c r="A28" s="30" t="inlineStr">
        <is>
          <t>MAIORES DESVIOS DO ACUMULADO (top 5 acima do orçado)</t>
        </is>
      </c>
    </row>
    <row r="29" ht="30" customHeight="1">
      <c r="A29" s="6" t="inlineStr">
        <is>
          <t>#</t>
        </is>
      </c>
      <c r="B29" s="6" t="inlineStr">
        <is>
          <t>Item</t>
        </is>
      </c>
      <c r="C29" s="6" t="inlineStr">
        <is>
          <t>Departamento</t>
        </is>
      </c>
      <c r="D29" s="6" t="inlineStr">
        <is>
          <t>Planejado acum.</t>
        </is>
      </c>
      <c r="E29" s="6" t="inlineStr">
        <is>
          <t>Realizado acum.</t>
        </is>
      </c>
      <c r="F29" s="6" t="inlineStr">
        <is>
          <t>Desvio (R$)</t>
        </is>
      </c>
      <c r="G29" s="6" t="inlineStr">
        <is>
          <t>Desvio (%)</t>
        </is>
      </c>
      <c r="H29" s="6" t="inlineStr"/>
    </row>
    <row r="30">
      <c r="A30" s="25" t="n">
        <v>1</v>
      </c>
      <c r="B30" s="26">
        <f>IFERROR(INDEX(Comparativo!$D$6:$D$23,MATCH(LARGE(Comparativo!$O$6:$O$23,A30),Comparativo!$O$6:$O$23,0)),"")</f>
        <v/>
      </c>
      <c r="C30" s="26">
        <f>IFERROR(INDEX(Comparativo!$B$6:$B$23,MATCH(LARGE(Comparativo!$O$6:$O$23,A30),Comparativo!$O$6:$O$23,0)),"")</f>
        <v/>
      </c>
      <c r="D30" s="27">
        <f>IFERROR(INDEX(Comparativo!$I$6:$I$23,MATCH(LARGE(Comparativo!$O$6:$O$23,A30),Comparativo!$O$6:$O$23,0)),"")</f>
        <v/>
      </c>
      <c r="E30" s="27">
        <f>IFERROR(INDEX(Comparativo!$J$6:$J$23,MATCH(LARGE(Comparativo!$O$6:$O$23,A30),Comparativo!$O$6:$O$23,0)),"")</f>
        <v/>
      </c>
      <c r="F30" s="27">
        <f>IFERROR(INDEX(Comparativo!$K$6:$K$23,MATCH(LARGE(Comparativo!$O$6:$O$23,A30),Comparativo!$O$6:$O$23,0)),"")</f>
        <v/>
      </c>
      <c r="G30" s="29">
        <f>IFERROR(F30/D30,"")</f>
        <v/>
      </c>
    </row>
    <row r="31">
      <c r="A31" s="25" t="n">
        <v>2</v>
      </c>
      <c r="B31" s="26">
        <f>IFERROR(INDEX(Comparativo!$D$6:$D$23,MATCH(LARGE(Comparativo!$O$6:$O$23,A31),Comparativo!$O$6:$O$23,0)),"")</f>
        <v/>
      </c>
      <c r="C31" s="26">
        <f>IFERROR(INDEX(Comparativo!$B$6:$B$23,MATCH(LARGE(Comparativo!$O$6:$O$23,A31),Comparativo!$O$6:$O$23,0)),"")</f>
        <v/>
      </c>
      <c r="D31" s="27">
        <f>IFERROR(INDEX(Comparativo!$I$6:$I$23,MATCH(LARGE(Comparativo!$O$6:$O$23,A31),Comparativo!$O$6:$O$23,0)),"")</f>
        <v/>
      </c>
      <c r="E31" s="27">
        <f>IFERROR(INDEX(Comparativo!$J$6:$J$23,MATCH(LARGE(Comparativo!$O$6:$O$23,A31),Comparativo!$O$6:$O$23,0)),"")</f>
        <v/>
      </c>
      <c r="F31" s="27">
        <f>IFERROR(INDEX(Comparativo!$K$6:$K$23,MATCH(LARGE(Comparativo!$O$6:$O$23,A31),Comparativo!$O$6:$O$23,0)),"")</f>
        <v/>
      </c>
      <c r="G31" s="29">
        <f>IFERROR(F31/D31,"")</f>
        <v/>
      </c>
    </row>
    <row r="32">
      <c r="A32" s="25" t="n">
        <v>3</v>
      </c>
      <c r="B32" s="26">
        <f>IFERROR(INDEX(Comparativo!$D$6:$D$23,MATCH(LARGE(Comparativo!$O$6:$O$23,A32),Comparativo!$O$6:$O$23,0)),"")</f>
        <v/>
      </c>
      <c r="C32" s="26">
        <f>IFERROR(INDEX(Comparativo!$B$6:$B$23,MATCH(LARGE(Comparativo!$O$6:$O$23,A32),Comparativo!$O$6:$O$23,0)),"")</f>
        <v/>
      </c>
      <c r="D32" s="27">
        <f>IFERROR(INDEX(Comparativo!$I$6:$I$23,MATCH(LARGE(Comparativo!$O$6:$O$23,A32),Comparativo!$O$6:$O$23,0)),"")</f>
        <v/>
      </c>
      <c r="E32" s="27">
        <f>IFERROR(INDEX(Comparativo!$J$6:$J$23,MATCH(LARGE(Comparativo!$O$6:$O$23,A32),Comparativo!$O$6:$O$23,0)),"")</f>
        <v/>
      </c>
      <c r="F32" s="27">
        <f>IFERROR(INDEX(Comparativo!$K$6:$K$23,MATCH(LARGE(Comparativo!$O$6:$O$23,A32),Comparativo!$O$6:$O$23,0)),"")</f>
        <v/>
      </c>
      <c r="G32" s="29">
        <f>IFERROR(F32/D32,"")</f>
        <v/>
      </c>
    </row>
    <row r="33">
      <c r="A33" s="25" t="n">
        <v>4</v>
      </c>
      <c r="B33" s="26">
        <f>IFERROR(INDEX(Comparativo!$D$6:$D$23,MATCH(LARGE(Comparativo!$O$6:$O$23,A33),Comparativo!$O$6:$O$23,0)),"")</f>
        <v/>
      </c>
      <c r="C33" s="26">
        <f>IFERROR(INDEX(Comparativo!$B$6:$B$23,MATCH(LARGE(Comparativo!$O$6:$O$23,A33),Comparativo!$O$6:$O$23,0)),"")</f>
        <v/>
      </c>
      <c r="D33" s="27">
        <f>IFERROR(INDEX(Comparativo!$I$6:$I$23,MATCH(LARGE(Comparativo!$O$6:$O$23,A33),Comparativo!$O$6:$O$23,0)),"")</f>
        <v/>
      </c>
      <c r="E33" s="27">
        <f>IFERROR(INDEX(Comparativo!$J$6:$J$23,MATCH(LARGE(Comparativo!$O$6:$O$23,A33),Comparativo!$O$6:$O$23,0)),"")</f>
        <v/>
      </c>
      <c r="F33" s="27">
        <f>IFERROR(INDEX(Comparativo!$K$6:$K$23,MATCH(LARGE(Comparativo!$O$6:$O$23,A33),Comparativo!$O$6:$O$23,0)),"")</f>
        <v/>
      </c>
      <c r="G33" s="29">
        <f>IFERROR(F33/D33,"")</f>
        <v/>
      </c>
    </row>
    <row r="34">
      <c r="A34" s="25" t="n">
        <v>5</v>
      </c>
      <c r="B34" s="26">
        <f>IFERROR(INDEX(Comparativo!$D$6:$D$23,MATCH(LARGE(Comparativo!$O$6:$O$23,A34),Comparativo!$O$6:$O$23,0)),"")</f>
        <v/>
      </c>
      <c r="C34" s="26">
        <f>IFERROR(INDEX(Comparativo!$B$6:$B$23,MATCH(LARGE(Comparativo!$O$6:$O$23,A34),Comparativo!$O$6:$O$23,0)),"")</f>
        <v/>
      </c>
      <c r="D34" s="27">
        <f>IFERROR(INDEX(Comparativo!$I$6:$I$23,MATCH(LARGE(Comparativo!$O$6:$O$23,A34),Comparativo!$O$6:$O$23,0)),"")</f>
        <v/>
      </c>
      <c r="E34" s="27">
        <f>IFERROR(INDEX(Comparativo!$J$6:$J$23,MATCH(LARGE(Comparativo!$O$6:$O$23,A34),Comparativo!$O$6:$O$23,0)),"")</f>
        <v/>
      </c>
      <c r="F34" s="27">
        <f>IFERROR(INDEX(Comparativo!$K$6:$K$23,MATCH(LARGE(Comparativo!$O$6:$O$23,A34),Comparativo!$O$6:$O$23,0)),"")</f>
        <v/>
      </c>
      <c r="G34" s="29">
        <f>IFERROR(F34/D34,"")</f>
        <v/>
      </c>
    </row>
  </sheetData>
  <mergeCells count="16">
    <mergeCell ref="A16:B16"/>
    <mergeCell ref="A2:I2"/>
    <mergeCell ref="A11:I11"/>
    <mergeCell ref="A15:B15"/>
    <mergeCell ref="D13:I13"/>
    <mergeCell ref="D14:I14"/>
    <mergeCell ref="D15:I15"/>
    <mergeCell ref="A19:I19"/>
    <mergeCell ref="A1:I1"/>
    <mergeCell ref="A17:I17"/>
    <mergeCell ref="A13:B13"/>
    <mergeCell ref="A14:B14"/>
    <mergeCell ref="D12:I12"/>
    <mergeCell ref="A28:H28"/>
    <mergeCell ref="D16:I16"/>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1" t="inlineStr">
        <is>
          <t>Jun/26</t>
        </is>
      </c>
      <c r="C3" s="32" t="inlineStr">
        <is>
          <t>Mês nº:</t>
        </is>
      </c>
      <c r="D3" s="33">
        <f>MATCH($B$3,Planejado!$H$4:$S$4,0)</f>
        <v/>
      </c>
    </row>
    <row r="5" ht="30" customHeight="1">
      <c r="A5" s="6" t="inlineStr">
        <is>
          <t>ID</t>
        </is>
      </c>
      <c r="B5" s="6" t="inlineStr">
        <is>
          <t>Departamento</t>
        </is>
      </c>
      <c r="C5" s="6" t="inlineStr">
        <is>
          <t>Bloco</t>
        </is>
      </c>
      <c r="D5" s="6" t="inlineStr">
        <is>
          <t>Descrição</t>
        </is>
      </c>
      <c r="E5" s="6" t="inlineStr">
        <is>
          <t>Plano de Contas</t>
        </is>
      </c>
      <c r="F5" s="6" t="inlineStr">
        <is>
          <t>Planejado no mês</t>
        </is>
      </c>
      <c r="G5" s="6" t="inlineStr">
        <is>
          <t>Realizado no mês</t>
        </is>
      </c>
      <c r="H5" s="6" t="inlineStr">
        <is>
          <t>Desvio no mês (R$)</t>
        </is>
      </c>
      <c r="I5" s="6" t="inlineStr">
        <is>
          <t>Planejado acum.</t>
        </is>
      </c>
      <c r="J5" s="6" t="inlineStr">
        <is>
          <t>Realizado acum.</t>
        </is>
      </c>
      <c r="K5" s="6" t="inlineStr">
        <is>
          <t>Desvio acum. (R$)</t>
        </is>
      </c>
      <c r="L5" s="6" t="inlineStr">
        <is>
          <t>Desvio acum. (%)</t>
        </is>
      </c>
      <c r="M5" s="6" t="inlineStr">
        <is>
          <t>% Executado</t>
        </is>
      </c>
      <c r="N5" s="6" t="inlineStr">
        <is>
          <t>Situação</t>
        </is>
      </c>
      <c r="O5" s="34" t="inlineStr">
        <is>
          <t>(aux ranking)</t>
        </is>
      </c>
      <c r="P5" s="34" t="inlineStr">
        <is>
          <t>(aux meses lançados)</t>
        </is>
      </c>
      <c r="Q5" s="34" t="inlineStr">
        <is>
          <t>(aux desvio comparável)</t>
        </is>
      </c>
      <c r="R5" s="34" t="inlineStr">
        <is>
          <t>(aux ranking economia)</t>
        </is>
      </c>
      <c r="S5" s="34" t="inlineStr">
        <is>
          <t>(aux planejado comparável)</t>
        </is>
      </c>
    </row>
    <row r="6" ht="24" customHeight="1">
      <c r="A6" s="35">
        <f>Planejado!A5</f>
        <v/>
      </c>
      <c r="B6" s="35">
        <f>Planejado!B5</f>
        <v/>
      </c>
      <c r="C6" s="35">
        <f>Planejado!C5</f>
        <v/>
      </c>
      <c r="D6" s="36">
        <f>Planejado!D5</f>
        <v/>
      </c>
      <c r="E6" s="35">
        <f>Planejado!G5</f>
        <v/>
      </c>
      <c r="F6" s="37">
        <f>INDEX(Planejado!$H5:$S5,$D$3)</f>
        <v/>
      </c>
      <c r="G6" s="37">
        <f>INDEX(Realizado!$H5:$S5,$D$3)</f>
        <v/>
      </c>
      <c r="H6" s="37">
        <f>G6-F6</f>
        <v/>
      </c>
      <c r="I6" s="37">
        <f>SUMPRODUCT((COLUMN(Planejado!$H$4:$S$4)-COLUMN(Planejado!$H$4)+1&lt;=$D$3)*Planejado!$H5:$S5)</f>
        <v/>
      </c>
      <c r="J6" s="37">
        <f>SUMPRODUCT((COLUMN(Realizado!$H$4:$S$4)-COLUMN(Realizado!$H$4)+1&lt;=$D$3)*Realizado!$H5:$S5)</f>
        <v/>
      </c>
      <c r="K6" s="37">
        <f>J6-I6</f>
        <v/>
      </c>
      <c r="L6" s="38">
        <f>IFERROR(K6/I6,"")</f>
        <v/>
      </c>
      <c r="M6" s="38">
        <f>IFERROR(J6/I6,"")</f>
        <v/>
      </c>
      <c r="N6" s="39">
        <f>IF(P6=0,"Sem lançamento",IF(AND(I6=0,J6=0),"—",IF(I6=0,"Não orçado",IF(K6&gt;0.05*I6,"Acima do orçado",IF(K6&lt;-0.05*I6,"Abaixo do orçado","Dentro do orçado")))))</f>
        <v/>
      </c>
      <c r="O6" s="34">
        <f>IF(K6&gt;1,K6+ROW()/1000000,"")</f>
        <v/>
      </c>
      <c r="P6" s="40">
        <f>SUMPRODUCT((COLUMN(Realizado!$H$4:$S$4)-COLUMN(Realizado!$H$4)+1&lt;=$D$3)*(Realizado!$H5:$S5&lt;&gt;""))</f>
        <v/>
      </c>
      <c r="Q6" s="41">
        <f>IF(P6=0,"",K6)</f>
        <v/>
      </c>
      <c r="R6" s="41">
        <f>IF(AND(Q6&lt;&gt;"",Q6&lt;-1),-Q6+ROW()/1000000,"")</f>
        <v/>
      </c>
      <c r="S6" s="41">
        <f>IF(Q6="","",I6)</f>
        <v/>
      </c>
    </row>
    <row r="7" ht="24" customHeight="1">
      <c r="A7" s="35">
        <f>Planejado!A6</f>
        <v/>
      </c>
      <c r="B7" s="35">
        <f>Planejado!B6</f>
        <v/>
      </c>
      <c r="C7" s="35">
        <f>Planejado!C6</f>
        <v/>
      </c>
      <c r="D7" s="36">
        <f>Planejado!D6</f>
        <v/>
      </c>
      <c r="E7" s="35">
        <f>Planejado!G6</f>
        <v/>
      </c>
      <c r="F7" s="37">
        <f>INDEX(Planejado!$H6:$S6,$D$3)</f>
        <v/>
      </c>
      <c r="G7" s="37">
        <f>INDEX(Realizado!$H6:$S6,$D$3)</f>
        <v/>
      </c>
      <c r="H7" s="37">
        <f>G7-F7</f>
        <v/>
      </c>
      <c r="I7" s="37">
        <f>SUMPRODUCT((COLUMN(Planejado!$H$4:$S$4)-COLUMN(Planejado!$H$4)+1&lt;=$D$3)*Planejado!$H6:$S6)</f>
        <v/>
      </c>
      <c r="J7" s="37">
        <f>SUMPRODUCT((COLUMN(Realizado!$H$4:$S$4)-COLUMN(Realizado!$H$4)+1&lt;=$D$3)*Realizado!$H6:$S6)</f>
        <v/>
      </c>
      <c r="K7" s="37">
        <f>J7-I7</f>
        <v/>
      </c>
      <c r="L7" s="38">
        <f>IFERROR(K7/I7,"")</f>
        <v/>
      </c>
      <c r="M7" s="38">
        <f>IFERROR(J7/I7,"")</f>
        <v/>
      </c>
      <c r="N7" s="39">
        <f>IF(P7=0,"Sem lançamento",IF(AND(I7=0,J7=0),"—",IF(I7=0,"Não orçado",IF(K7&gt;0.05*I7,"Acima do orçado",IF(K7&lt;-0.05*I7,"Abaixo do orçado","Dentro do orçado")))))</f>
        <v/>
      </c>
      <c r="O7" s="34">
        <f>IF(K7&gt;1,K7+ROW()/1000000,"")</f>
        <v/>
      </c>
      <c r="P7" s="40">
        <f>SUMPRODUCT((COLUMN(Realizado!$H$4:$S$4)-COLUMN(Realizado!$H$4)+1&lt;=$D$3)*(Realizado!$H6:$S6&lt;&gt;""))</f>
        <v/>
      </c>
      <c r="Q7" s="41">
        <f>IF(P7=0,"",K7)</f>
        <v/>
      </c>
      <c r="R7" s="41">
        <f>IF(AND(Q7&lt;&gt;"",Q7&lt;-1),-Q7+ROW()/1000000,"")</f>
        <v/>
      </c>
      <c r="S7" s="41">
        <f>IF(Q7="","",I7)</f>
        <v/>
      </c>
    </row>
    <row r="8" ht="24" customHeight="1">
      <c r="A8" s="35">
        <f>Planejado!A7</f>
        <v/>
      </c>
      <c r="B8" s="35">
        <f>Planejado!B7</f>
        <v/>
      </c>
      <c r="C8" s="35">
        <f>Planejado!C7</f>
        <v/>
      </c>
      <c r="D8" s="36">
        <f>Planejado!D7</f>
        <v/>
      </c>
      <c r="E8" s="35">
        <f>Planejado!G7</f>
        <v/>
      </c>
      <c r="F8" s="37">
        <f>INDEX(Planejado!$H7:$S7,$D$3)</f>
        <v/>
      </c>
      <c r="G8" s="37">
        <f>INDEX(Realizado!$H7:$S7,$D$3)</f>
        <v/>
      </c>
      <c r="H8" s="37">
        <f>G8-F8</f>
        <v/>
      </c>
      <c r="I8" s="37">
        <f>SUMPRODUCT((COLUMN(Planejado!$H$4:$S$4)-COLUMN(Planejado!$H$4)+1&lt;=$D$3)*Planejado!$H7:$S7)</f>
        <v/>
      </c>
      <c r="J8" s="37">
        <f>SUMPRODUCT((COLUMN(Realizado!$H$4:$S$4)-COLUMN(Realizado!$H$4)+1&lt;=$D$3)*Realizado!$H7:$S7)</f>
        <v/>
      </c>
      <c r="K8" s="37">
        <f>J8-I8</f>
        <v/>
      </c>
      <c r="L8" s="38">
        <f>IFERROR(K8/I8,"")</f>
        <v/>
      </c>
      <c r="M8" s="38">
        <f>IFERROR(J8/I8,"")</f>
        <v/>
      </c>
      <c r="N8" s="39">
        <f>IF(P8=0,"Sem lançamento",IF(AND(I8=0,J8=0),"—",IF(I8=0,"Não orçado",IF(K8&gt;0.05*I8,"Acima do orçado",IF(K8&lt;-0.05*I8,"Abaixo do orçado","Dentro do orçado")))))</f>
        <v/>
      </c>
      <c r="O8" s="34">
        <f>IF(K8&gt;1,K8+ROW()/1000000,"")</f>
        <v/>
      </c>
      <c r="P8" s="40">
        <f>SUMPRODUCT((COLUMN(Realizado!$H$4:$S$4)-COLUMN(Realizado!$H$4)+1&lt;=$D$3)*(Realizado!$H7:$S7&lt;&gt;""))</f>
        <v/>
      </c>
      <c r="Q8" s="41">
        <f>IF(P8=0,"",K8)</f>
        <v/>
      </c>
      <c r="R8" s="41">
        <f>IF(AND(Q8&lt;&gt;"",Q8&lt;-1),-Q8+ROW()/1000000,"")</f>
        <v/>
      </c>
      <c r="S8" s="41">
        <f>IF(Q8="","",I8)</f>
        <v/>
      </c>
    </row>
    <row r="9" ht="24" customHeight="1">
      <c r="A9" s="35">
        <f>Planejado!A8</f>
        <v/>
      </c>
      <c r="B9" s="35">
        <f>Planejado!B8</f>
        <v/>
      </c>
      <c r="C9" s="35">
        <f>Planejado!C8</f>
        <v/>
      </c>
      <c r="D9" s="36">
        <f>Planejado!D8</f>
        <v/>
      </c>
      <c r="E9" s="35">
        <f>Planejado!G8</f>
        <v/>
      </c>
      <c r="F9" s="37">
        <f>INDEX(Planejado!$H8:$S8,$D$3)</f>
        <v/>
      </c>
      <c r="G9" s="37">
        <f>INDEX(Realizado!$H8:$S8,$D$3)</f>
        <v/>
      </c>
      <c r="H9" s="37">
        <f>G9-F9</f>
        <v/>
      </c>
      <c r="I9" s="37">
        <f>SUMPRODUCT((COLUMN(Planejado!$H$4:$S$4)-COLUMN(Planejado!$H$4)+1&lt;=$D$3)*Planejado!$H8:$S8)</f>
        <v/>
      </c>
      <c r="J9" s="37">
        <f>SUMPRODUCT((COLUMN(Realizado!$H$4:$S$4)-COLUMN(Realizado!$H$4)+1&lt;=$D$3)*Realizado!$H8:$S8)</f>
        <v/>
      </c>
      <c r="K9" s="37">
        <f>J9-I9</f>
        <v/>
      </c>
      <c r="L9" s="38">
        <f>IFERROR(K9/I9,"")</f>
        <v/>
      </c>
      <c r="M9" s="38">
        <f>IFERROR(J9/I9,"")</f>
        <v/>
      </c>
      <c r="N9" s="39">
        <f>IF(P9=0,"Sem lançamento",IF(AND(I9=0,J9=0),"—",IF(I9=0,"Não orçado",IF(K9&gt;0.05*I9,"Acima do orçado",IF(K9&lt;-0.05*I9,"Abaixo do orçado","Dentro do orçado")))))</f>
        <v/>
      </c>
      <c r="O9" s="34">
        <f>IF(K9&gt;1,K9+ROW()/1000000,"")</f>
        <v/>
      </c>
      <c r="P9" s="40">
        <f>SUMPRODUCT((COLUMN(Realizado!$H$4:$S$4)-COLUMN(Realizado!$H$4)+1&lt;=$D$3)*(Realizado!$H8:$S8&lt;&gt;""))</f>
        <v/>
      </c>
      <c r="Q9" s="41">
        <f>IF(P9=0,"",K9)</f>
        <v/>
      </c>
      <c r="R9" s="41">
        <f>IF(AND(Q9&lt;&gt;"",Q9&lt;-1),-Q9+ROW()/1000000,"")</f>
        <v/>
      </c>
      <c r="S9" s="41">
        <f>IF(Q9="","",I9)</f>
        <v/>
      </c>
    </row>
    <row r="10" ht="24" customHeight="1">
      <c r="A10" s="35">
        <f>Planejado!A9</f>
        <v/>
      </c>
      <c r="B10" s="35">
        <f>Planejado!B9</f>
        <v/>
      </c>
      <c r="C10" s="35">
        <f>Planejado!C9</f>
        <v/>
      </c>
      <c r="D10" s="36">
        <f>Planejado!D9</f>
        <v/>
      </c>
      <c r="E10" s="35">
        <f>Planejado!G9</f>
        <v/>
      </c>
      <c r="F10" s="37">
        <f>INDEX(Planejado!$H9:$S9,$D$3)</f>
        <v/>
      </c>
      <c r="G10" s="37">
        <f>INDEX(Realizado!$H9:$S9,$D$3)</f>
        <v/>
      </c>
      <c r="H10" s="37">
        <f>G10-F10</f>
        <v/>
      </c>
      <c r="I10" s="37">
        <f>SUMPRODUCT((COLUMN(Planejado!$H$4:$S$4)-COLUMN(Planejado!$H$4)+1&lt;=$D$3)*Planejado!$H9:$S9)</f>
        <v/>
      </c>
      <c r="J10" s="37">
        <f>SUMPRODUCT((COLUMN(Realizado!$H$4:$S$4)-COLUMN(Realizado!$H$4)+1&lt;=$D$3)*Realizado!$H9:$S9)</f>
        <v/>
      </c>
      <c r="K10" s="37">
        <f>J10-I10</f>
        <v/>
      </c>
      <c r="L10" s="38">
        <f>IFERROR(K10/I10,"")</f>
        <v/>
      </c>
      <c r="M10" s="38">
        <f>IFERROR(J10/I10,"")</f>
        <v/>
      </c>
      <c r="N10" s="39">
        <f>IF(P10=0,"Sem lançamento",IF(AND(I10=0,J10=0),"—",IF(I10=0,"Não orçado",IF(K10&gt;0.05*I10,"Acima do orçado",IF(K10&lt;-0.05*I10,"Abaixo do orçado","Dentro do orçado")))))</f>
        <v/>
      </c>
      <c r="O10" s="34">
        <f>IF(K10&gt;1,K10+ROW()/1000000,"")</f>
        <v/>
      </c>
      <c r="P10" s="40">
        <f>SUMPRODUCT((COLUMN(Realizado!$H$4:$S$4)-COLUMN(Realizado!$H$4)+1&lt;=$D$3)*(Realizado!$H9:$S9&lt;&gt;""))</f>
        <v/>
      </c>
      <c r="Q10" s="41">
        <f>IF(P10=0,"",K10)</f>
        <v/>
      </c>
      <c r="R10" s="41">
        <f>IF(AND(Q10&lt;&gt;"",Q10&lt;-1),-Q10+ROW()/1000000,"")</f>
        <v/>
      </c>
      <c r="S10" s="41">
        <f>IF(Q10="","",I10)</f>
        <v/>
      </c>
    </row>
    <row r="11" ht="24" customHeight="1">
      <c r="A11" s="35">
        <f>Planejado!A10</f>
        <v/>
      </c>
      <c r="B11" s="35">
        <f>Planejado!B10</f>
        <v/>
      </c>
      <c r="C11" s="35">
        <f>Planejado!C10</f>
        <v/>
      </c>
      <c r="D11" s="36">
        <f>Planejado!D10</f>
        <v/>
      </c>
      <c r="E11" s="35">
        <f>Planejado!G10</f>
        <v/>
      </c>
      <c r="F11" s="37">
        <f>INDEX(Planejado!$H10:$S10,$D$3)</f>
        <v/>
      </c>
      <c r="G11" s="37">
        <f>INDEX(Realizado!$H10:$S10,$D$3)</f>
        <v/>
      </c>
      <c r="H11" s="37">
        <f>G11-F11</f>
        <v/>
      </c>
      <c r="I11" s="37">
        <f>SUMPRODUCT((COLUMN(Planejado!$H$4:$S$4)-COLUMN(Planejado!$H$4)+1&lt;=$D$3)*Planejado!$H10:$S10)</f>
        <v/>
      </c>
      <c r="J11" s="37">
        <f>SUMPRODUCT((COLUMN(Realizado!$H$4:$S$4)-COLUMN(Realizado!$H$4)+1&lt;=$D$3)*Realizado!$H10:$S10)</f>
        <v/>
      </c>
      <c r="K11" s="37">
        <f>J11-I11</f>
        <v/>
      </c>
      <c r="L11" s="38">
        <f>IFERROR(K11/I11,"")</f>
        <v/>
      </c>
      <c r="M11" s="38">
        <f>IFERROR(J11/I11,"")</f>
        <v/>
      </c>
      <c r="N11" s="39">
        <f>IF(P11=0,"Sem lançamento",IF(AND(I11=0,J11=0),"—",IF(I11=0,"Não orçado",IF(K11&gt;0.05*I11,"Acima do orçado",IF(K11&lt;-0.05*I11,"Abaixo do orçado","Dentro do orçado")))))</f>
        <v/>
      </c>
      <c r="O11" s="34">
        <f>IF(K11&gt;1,K11+ROW()/1000000,"")</f>
        <v/>
      </c>
      <c r="P11" s="40">
        <f>SUMPRODUCT((COLUMN(Realizado!$H$4:$S$4)-COLUMN(Realizado!$H$4)+1&lt;=$D$3)*(Realizado!$H10:$S10&lt;&gt;""))</f>
        <v/>
      </c>
      <c r="Q11" s="41">
        <f>IF(P11=0,"",K11)</f>
        <v/>
      </c>
      <c r="R11" s="41">
        <f>IF(AND(Q11&lt;&gt;"",Q11&lt;-1),-Q11+ROW()/1000000,"")</f>
        <v/>
      </c>
      <c r="S11" s="41">
        <f>IF(Q11="","",I11)</f>
        <v/>
      </c>
    </row>
    <row r="12" ht="24" customHeight="1">
      <c r="A12" s="35">
        <f>Planejado!A11</f>
        <v/>
      </c>
      <c r="B12" s="35">
        <f>Planejado!B11</f>
        <v/>
      </c>
      <c r="C12" s="35">
        <f>Planejado!C11</f>
        <v/>
      </c>
      <c r="D12" s="36">
        <f>Planejado!D11</f>
        <v/>
      </c>
      <c r="E12" s="35">
        <f>Planejado!G11</f>
        <v/>
      </c>
      <c r="F12" s="37">
        <f>INDEX(Planejado!$H11:$S11,$D$3)</f>
        <v/>
      </c>
      <c r="G12" s="37">
        <f>INDEX(Realizado!$H11:$S11,$D$3)</f>
        <v/>
      </c>
      <c r="H12" s="37">
        <f>G12-F12</f>
        <v/>
      </c>
      <c r="I12" s="37">
        <f>SUMPRODUCT((COLUMN(Planejado!$H$4:$S$4)-COLUMN(Planejado!$H$4)+1&lt;=$D$3)*Planejado!$H11:$S11)</f>
        <v/>
      </c>
      <c r="J12" s="37">
        <f>SUMPRODUCT((COLUMN(Realizado!$H$4:$S$4)-COLUMN(Realizado!$H$4)+1&lt;=$D$3)*Realizado!$H11:$S11)</f>
        <v/>
      </c>
      <c r="K12" s="37">
        <f>J12-I12</f>
        <v/>
      </c>
      <c r="L12" s="38">
        <f>IFERROR(K12/I12,"")</f>
        <v/>
      </c>
      <c r="M12" s="38">
        <f>IFERROR(J12/I12,"")</f>
        <v/>
      </c>
      <c r="N12" s="39">
        <f>IF(P12=0,"Sem lançamento",IF(AND(I12=0,J12=0),"—",IF(I12=0,"Não orçado",IF(K12&gt;0.05*I12,"Acima do orçado",IF(K12&lt;-0.05*I12,"Abaixo do orçado","Dentro do orçado")))))</f>
        <v/>
      </c>
      <c r="O12" s="34">
        <f>IF(K12&gt;1,K12+ROW()/1000000,"")</f>
        <v/>
      </c>
      <c r="P12" s="40">
        <f>SUMPRODUCT((COLUMN(Realizado!$H$4:$S$4)-COLUMN(Realizado!$H$4)+1&lt;=$D$3)*(Realizado!$H11:$S11&lt;&gt;""))</f>
        <v/>
      </c>
      <c r="Q12" s="41">
        <f>IF(P12=0,"",K12)</f>
        <v/>
      </c>
      <c r="R12" s="41">
        <f>IF(AND(Q12&lt;&gt;"",Q12&lt;-1),-Q12+ROW()/1000000,"")</f>
        <v/>
      </c>
      <c r="S12" s="41">
        <f>IF(Q12="","",I12)</f>
        <v/>
      </c>
    </row>
    <row r="13" ht="24" customHeight="1">
      <c r="A13" s="35">
        <f>Planejado!A12</f>
        <v/>
      </c>
      <c r="B13" s="35">
        <f>Planejado!B12</f>
        <v/>
      </c>
      <c r="C13" s="35">
        <f>Planejado!C12</f>
        <v/>
      </c>
      <c r="D13" s="36">
        <f>Planejado!D12</f>
        <v/>
      </c>
      <c r="E13" s="35">
        <f>Planejado!G12</f>
        <v/>
      </c>
      <c r="F13" s="37">
        <f>INDEX(Planejado!$H12:$S12,$D$3)</f>
        <v/>
      </c>
      <c r="G13" s="37">
        <f>INDEX(Realizado!$H12:$S12,$D$3)</f>
        <v/>
      </c>
      <c r="H13" s="37">
        <f>G13-F13</f>
        <v/>
      </c>
      <c r="I13" s="37">
        <f>SUMPRODUCT((COLUMN(Planejado!$H$4:$S$4)-COLUMN(Planejado!$H$4)+1&lt;=$D$3)*Planejado!$H12:$S12)</f>
        <v/>
      </c>
      <c r="J13" s="37">
        <f>SUMPRODUCT((COLUMN(Realizado!$H$4:$S$4)-COLUMN(Realizado!$H$4)+1&lt;=$D$3)*Realizado!$H12:$S12)</f>
        <v/>
      </c>
      <c r="K13" s="37">
        <f>J13-I13</f>
        <v/>
      </c>
      <c r="L13" s="38">
        <f>IFERROR(K13/I13,"")</f>
        <v/>
      </c>
      <c r="M13" s="38">
        <f>IFERROR(J13/I13,"")</f>
        <v/>
      </c>
      <c r="N13" s="39">
        <f>IF(P13=0,"Sem lançamento",IF(AND(I13=0,J13=0),"—",IF(I13=0,"Não orçado",IF(K13&gt;0.05*I13,"Acima do orçado",IF(K13&lt;-0.05*I13,"Abaixo do orçado","Dentro do orçado")))))</f>
        <v/>
      </c>
      <c r="O13" s="34">
        <f>IF(K13&gt;1,K13+ROW()/1000000,"")</f>
        <v/>
      </c>
      <c r="P13" s="40">
        <f>SUMPRODUCT((COLUMN(Realizado!$H$4:$S$4)-COLUMN(Realizado!$H$4)+1&lt;=$D$3)*(Realizado!$H12:$S12&lt;&gt;""))</f>
        <v/>
      </c>
      <c r="Q13" s="41">
        <f>IF(P13=0,"",K13)</f>
        <v/>
      </c>
      <c r="R13" s="41">
        <f>IF(AND(Q13&lt;&gt;"",Q13&lt;-1),-Q13+ROW()/1000000,"")</f>
        <v/>
      </c>
      <c r="S13" s="41">
        <f>IF(Q13="","",I13)</f>
        <v/>
      </c>
    </row>
    <row r="14" ht="24" customHeight="1">
      <c r="A14" s="35">
        <f>Planejado!A13</f>
        <v/>
      </c>
      <c r="B14" s="35">
        <f>Planejado!B13</f>
        <v/>
      </c>
      <c r="C14" s="35">
        <f>Planejado!C13</f>
        <v/>
      </c>
      <c r="D14" s="36">
        <f>Planejado!D13</f>
        <v/>
      </c>
      <c r="E14" s="35">
        <f>Planejado!G13</f>
        <v/>
      </c>
      <c r="F14" s="37">
        <f>INDEX(Planejado!$H13:$S13,$D$3)</f>
        <v/>
      </c>
      <c r="G14" s="37">
        <f>INDEX(Realizado!$H13:$S13,$D$3)</f>
        <v/>
      </c>
      <c r="H14" s="37">
        <f>G14-F14</f>
        <v/>
      </c>
      <c r="I14" s="37">
        <f>SUMPRODUCT((COLUMN(Planejado!$H$4:$S$4)-COLUMN(Planejado!$H$4)+1&lt;=$D$3)*Planejado!$H13:$S13)</f>
        <v/>
      </c>
      <c r="J14" s="37">
        <f>SUMPRODUCT((COLUMN(Realizado!$H$4:$S$4)-COLUMN(Realizado!$H$4)+1&lt;=$D$3)*Realizado!$H13:$S13)</f>
        <v/>
      </c>
      <c r="K14" s="37">
        <f>J14-I14</f>
        <v/>
      </c>
      <c r="L14" s="38">
        <f>IFERROR(K14/I14,"")</f>
        <v/>
      </c>
      <c r="M14" s="38">
        <f>IFERROR(J14/I14,"")</f>
        <v/>
      </c>
      <c r="N14" s="39">
        <f>IF(P14=0,"Sem lançamento",IF(AND(I14=0,J14=0),"—",IF(I14=0,"Não orçado",IF(K14&gt;0.05*I14,"Acima do orçado",IF(K14&lt;-0.05*I14,"Abaixo do orçado","Dentro do orçado")))))</f>
        <v/>
      </c>
      <c r="O14" s="34">
        <f>IF(K14&gt;1,K14+ROW()/1000000,"")</f>
        <v/>
      </c>
      <c r="P14" s="40">
        <f>SUMPRODUCT((COLUMN(Realizado!$H$4:$S$4)-COLUMN(Realizado!$H$4)+1&lt;=$D$3)*(Realizado!$H13:$S13&lt;&gt;""))</f>
        <v/>
      </c>
      <c r="Q14" s="41">
        <f>IF(P14=0,"",K14)</f>
        <v/>
      </c>
      <c r="R14" s="41">
        <f>IF(AND(Q14&lt;&gt;"",Q14&lt;-1),-Q14+ROW()/1000000,"")</f>
        <v/>
      </c>
      <c r="S14" s="41">
        <f>IF(Q14="","",I14)</f>
        <v/>
      </c>
    </row>
    <row r="15" ht="24" customHeight="1">
      <c r="A15" s="35">
        <f>Planejado!A14</f>
        <v/>
      </c>
      <c r="B15" s="35">
        <f>Planejado!B14</f>
        <v/>
      </c>
      <c r="C15" s="35">
        <f>Planejado!C14</f>
        <v/>
      </c>
      <c r="D15" s="36">
        <f>Planejado!D14</f>
        <v/>
      </c>
      <c r="E15" s="35">
        <f>Planejado!G14</f>
        <v/>
      </c>
      <c r="F15" s="37">
        <f>INDEX(Planejado!$H14:$S14,$D$3)</f>
        <v/>
      </c>
      <c r="G15" s="37">
        <f>INDEX(Realizado!$H14:$S14,$D$3)</f>
        <v/>
      </c>
      <c r="H15" s="37">
        <f>G15-F15</f>
        <v/>
      </c>
      <c r="I15" s="37">
        <f>SUMPRODUCT((COLUMN(Planejado!$H$4:$S$4)-COLUMN(Planejado!$H$4)+1&lt;=$D$3)*Planejado!$H14:$S14)</f>
        <v/>
      </c>
      <c r="J15" s="37">
        <f>SUMPRODUCT((COLUMN(Realizado!$H$4:$S$4)-COLUMN(Realizado!$H$4)+1&lt;=$D$3)*Realizado!$H14:$S14)</f>
        <v/>
      </c>
      <c r="K15" s="37">
        <f>J15-I15</f>
        <v/>
      </c>
      <c r="L15" s="38">
        <f>IFERROR(K15/I15,"")</f>
        <v/>
      </c>
      <c r="M15" s="38">
        <f>IFERROR(J15/I15,"")</f>
        <v/>
      </c>
      <c r="N15" s="39">
        <f>IF(P15=0,"Sem lançamento",IF(AND(I15=0,J15=0),"—",IF(I15=0,"Não orçado",IF(K15&gt;0.05*I15,"Acima do orçado",IF(K15&lt;-0.05*I15,"Abaixo do orçado","Dentro do orçado")))))</f>
        <v/>
      </c>
      <c r="O15" s="34">
        <f>IF(K15&gt;1,K15+ROW()/1000000,"")</f>
        <v/>
      </c>
      <c r="P15" s="40">
        <f>SUMPRODUCT((COLUMN(Realizado!$H$4:$S$4)-COLUMN(Realizado!$H$4)+1&lt;=$D$3)*(Realizado!$H14:$S14&lt;&gt;""))</f>
        <v/>
      </c>
      <c r="Q15" s="41">
        <f>IF(P15=0,"",K15)</f>
        <v/>
      </c>
      <c r="R15" s="41">
        <f>IF(AND(Q15&lt;&gt;"",Q15&lt;-1),-Q15+ROW()/1000000,"")</f>
        <v/>
      </c>
      <c r="S15" s="41">
        <f>IF(Q15="","",I15)</f>
        <v/>
      </c>
    </row>
    <row r="16" ht="24" customHeight="1">
      <c r="A16" s="35">
        <f>Planejado!A15</f>
        <v/>
      </c>
      <c r="B16" s="35">
        <f>Planejado!B15</f>
        <v/>
      </c>
      <c r="C16" s="35">
        <f>Planejado!C15</f>
        <v/>
      </c>
      <c r="D16" s="36">
        <f>Planejado!D15</f>
        <v/>
      </c>
      <c r="E16" s="35">
        <f>Planejado!G15</f>
        <v/>
      </c>
      <c r="F16" s="37">
        <f>INDEX(Planejado!$H15:$S15,$D$3)</f>
        <v/>
      </c>
      <c r="G16" s="37">
        <f>INDEX(Realizado!$H15:$S15,$D$3)</f>
        <v/>
      </c>
      <c r="H16" s="37">
        <f>G16-F16</f>
        <v/>
      </c>
      <c r="I16" s="37">
        <f>SUMPRODUCT((COLUMN(Planejado!$H$4:$S$4)-COLUMN(Planejado!$H$4)+1&lt;=$D$3)*Planejado!$H15:$S15)</f>
        <v/>
      </c>
      <c r="J16" s="37">
        <f>SUMPRODUCT((COLUMN(Realizado!$H$4:$S$4)-COLUMN(Realizado!$H$4)+1&lt;=$D$3)*Realizado!$H15:$S15)</f>
        <v/>
      </c>
      <c r="K16" s="37">
        <f>J16-I16</f>
        <v/>
      </c>
      <c r="L16" s="38">
        <f>IFERROR(K16/I16,"")</f>
        <v/>
      </c>
      <c r="M16" s="38">
        <f>IFERROR(J16/I16,"")</f>
        <v/>
      </c>
      <c r="N16" s="39">
        <f>IF(P16=0,"Sem lançamento",IF(AND(I16=0,J16=0),"—",IF(I16=0,"Não orçado",IF(K16&gt;0.05*I16,"Acima do orçado",IF(K16&lt;-0.05*I16,"Abaixo do orçado","Dentro do orçado")))))</f>
        <v/>
      </c>
      <c r="O16" s="34">
        <f>IF(K16&gt;1,K16+ROW()/1000000,"")</f>
        <v/>
      </c>
      <c r="P16" s="40">
        <f>SUMPRODUCT((COLUMN(Realizado!$H$4:$S$4)-COLUMN(Realizado!$H$4)+1&lt;=$D$3)*(Realizado!$H15:$S15&lt;&gt;""))</f>
        <v/>
      </c>
      <c r="Q16" s="41">
        <f>IF(P16=0,"",K16)</f>
        <v/>
      </c>
      <c r="R16" s="41">
        <f>IF(AND(Q16&lt;&gt;"",Q16&lt;-1),-Q16+ROW()/1000000,"")</f>
        <v/>
      </c>
      <c r="S16" s="41">
        <f>IF(Q16="","",I16)</f>
        <v/>
      </c>
    </row>
    <row r="17" ht="24" customHeight="1">
      <c r="A17" s="35">
        <f>Planejado!A16</f>
        <v/>
      </c>
      <c r="B17" s="35">
        <f>Planejado!B16</f>
        <v/>
      </c>
      <c r="C17" s="35">
        <f>Planejado!C16</f>
        <v/>
      </c>
      <c r="D17" s="36">
        <f>Planejado!D16</f>
        <v/>
      </c>
      <c r="E17" s="35">
        <f>Planejado!G16</f>
        <v/>
      </c>
      <c r="F17" s="37">
        <f>INDEX(Planejado!$H16:$S16,$D$3)</f>
        <v/>
      </c>
      <c r="G17" s="37">
        <f>INDEX(Realizado!$H16:$S16,$D$3)</f>
        <v/>
      </c>
      <c r="H17" s="37">
        <f>G17-F17</f>
        <v/>
      </c>
      <c r="I17" s="37">
        <f>SUMPRODUCT((COLUMN(Planejado!$H$4:$S$4)-COLUMN(Planejado!$H$4)+1&lt;=$D$3)*Planejado!$H16:$S16)</f>
        <v/>
      </c>
      <c r="J17" s="37">
        <f>SUMPRODUCT((COLUMN(Realizado!$H$4:$S$4)-COLUMN(Realizado!$H$4)+1&lt;=$D$3)*Realizado!$H16:$S16)</f>
        <v/>
      </c>
      <c r="K17" s="37">
        <f>J17-I17</f>
        <v/>
      </c>
      <c r="L17" s="38">
        <f>IFERROR(K17/I17,"")</f>
        <v/>
      </c>
      <c r="M17" s="38">
        <f>IFERROR(J17/I17,"")</f>
        <v/>
      </c>
      <c r="N17" s="39">
        <f>IF(P17=0,"Sem lançamento",IF(AND(I17=0,J17=0),"—",IF(I17=0,"Não orçado",IF(K17&gt;0.05*I17,"Acima do orçado",IF(K17&lt;-0.05*I17,"Abaixo do orçado","Dentro do orçado")))))</f>
        <v/>
      </c>
      <c r="O17" s="34">
        <f>IF(K17&gt;1,K17+ROW()/1000000,"")</f>
        <v/>
      </c>
      <c r="P17" s="40">
        <f>SUMPRODUCT((COLUMN(Realizado!$H$4:$S$4)-COLUMN(Realizado!$H$4)+1&lt;=$D$3)*(Realizado!$H16:$S16&lt;&gt;""))</f>
        <v/>
      </c>
      <c r="Q17" s="41">
        <f>IF(P17=0,"",K17)</f>
        <v/>
      </c>
      <c r="R17" s="41">
        <f>IF(AND(Q17&lt;&gt;"",Q17&lt;-1),-Q17+ROW()/1000000,"")</f>
        <v/>
      </c>
      <c r="S17" s="41">
        <f>IF(Q17="","",I17)</f>
        <v/>
      </c>
    </row>
    <row r="18" ht="24" customHeight="1">
      <c r="A18" s="35">
        <f>Planejado!A17</f>
        <v/>
      </c>
      <c r="B18" s="35">
        <f>Planejado!B17</f>
        <v/>
      </c>
      <c r="C18" s="35">
        <f>Planejado!C17</f>
        <v/>
      </c>
      <c r="D18" s="36">
        <f>Planejado!D17</f>
        <v/>
      </c>
      <c r="E18" s="35">
        <f>Planejado!G17</f>
        <v/>
      </c>
      <c r="F18" s="37">
        <f>INDEX(Planejado!$H17:$S17,$D$3)</f>
        <v/>
      </c>
      <c r="G18" s="37">
        <f>INDEX(Realizado!$H17:$S17,$D$3)</f>
        <v/>
      </c>
      <c r="H18" s="37">
        <f>G18-F18</f>
        <v/>
      </c>
      <c r="I18" s="37">
        <f>SUMPRODUCT((COLUMN(Planejado!$H$4:$S$4)-COLUMN(Planejado!$H$4)+1&lt;=$D$3)*Planejado!$H17:$S17)</f>
        <v/>
      </c>
      <c r="J18" s="37">
        <f>SUMPRODUCT((COLUMN(Realizado!$H$4:$S$4)-COLUMN(Realizado!$H$4)+1&lt;=$D$3)*Realizado!$H17:$S17)</f>
        <v/>
      </c>
      <c r="K18" s="37">
        <f>J18-I18</f>
        <v/>
      </c>
      <c r="L18" s="38">
        <f>IFERROR(K18/I18,"")</f>
        <v/>
      </c>
      <c r="M18" s="38">
        <f>IFERROR(J18/I18,"")</f>
        <v/>
      </c>
      <c r="N18" s="39">
        <f>IF(P18=0,"Sem lançamento",IF(AND(I18=0,J18=0),"—",IF(I18=0,"Não orçado",IF(K18&gt;0.05*I18,"Acima do orçado",IF(K18&lt;-0.05*I18,"Abaixo do orçado","Dentro do orçado")))))</f>
        <v/>
      </c>
      <c r="O18" s="34">
        <f>IF(K18&gt;1,K18+ROW()/1000000,"")</f>
        <v/>
      </c>
      <c r="P18" s="40">
        <f>SUMPRODUCT((COLUMN(Realizado!$H$4:$S$4)-COLUMN(Realizado!$H$4)+1&lt;=$D$3)*(Realizado!$H17:$S17&lt;&gt;""))</f>
        <v/>
      </c>
      <c r="Q18" s="41">
        <f>IF(P18=0,"",K18)</f>
        <v/>
      </c>
      <c r="R18" s="41">
        <f>IF(AND(Q18&lt;&gt;"",Q18&lt;-1),-Q18+ROW()/1000000,"")</f>
        <v/>
      </c>
      <c r="S18" s="41">
        <f>IF(Q18="","",I18)</f>
        <v/>
      </c>
    </row>
    <row r="19" ht="24" customHeight="1">
      <c r="A19" s="35">
        <f>Planejado!A18</f>
        <v/>
      </c>
      <c r="B19" s="35">
        <f>Planejado!B18</f>
        <v/>
      </c>
      <c r="C19" s="35">
        <f>Planejado!C18</f>
        <v/>
      </c>
      <c r="D19" s="36">
        <f>Planejado!D18</f>
        <v/>
      </c>
      <c r="E19" s="35">
        <f>Planejado!G18</f>
        <v/>
      </c>
      <c r="F19" s="37">
        <f>INDEX(Planejado!$H18:$S18,$D$3)</f>
        <v/>
      </c>
      <c r="G19" s="37">
        <f>INDEX(Realizado!$H18:$S18,$D$3)</f>
        <v/>
      </c>
      <c r="H19" s="37">
        <f>G19-F19</f>
        <v/>
      </c>
      <c r="I19" s="37">
        <f>SUMPRODUCT((COLUMN(Planejado!$H$4:$S$4)-COLUMN(Planejado!$H$4)+1&lt;=$D$3)*Planejado!$H18:$S18)</f>
        <v/>
      </c>
      <c r="J19" s="37">
        <f>SUMPRODUCT((COLUMN(Realizado!$H$4:$S$4)-COLUMN(Realizado!$H$4)+1&lt;=$D$3)*Realizado!$H18:$S18)</f>
        <v/>
      </c>
      <c r="K19" s="37">
        <f>J19-I19</f>
        <v/>
      </c>
      <c r="L19" s="38">
        <f>IFERROR(K19/I19,"")</f>
        <v/>
      </c>
      <c r="M19" s="38">
        <f>IFERROR(J19/I19,"")</f>
        <v/>
      </c>
      <c r="N19" s="39">
        <f>IF(P19=0,"Sem lançamento",IF(AND(I19=0,J19=0),"—",IF(I19=0,"Não orçado",IF(K19&gt;0.05*I19,"Acima do orçado",IF(K19&lt;-0.05*I19,"Abaixo do orçado","Dentro do orçado")))))</f>
        <v/>
      </c>
      <c r="O19" s="34">
        <f>IF(K19&gt;1,K19+ROW()/1000000,"")</f>
        <v/>
      </c>
      <c r="P19" s="40">
        <f>SUMPRODUCT((COLUMN(Realizado!$H$4:$S$4)-COLUMN(Realizado!$H$4)+1&lt;=$D$3)*(Realizado!$H18:$S18&lt;&gt;""))</f>
        <v/>
      </c>
      <c r="Q19" s="41">
        <f>IF(P19=0,"",K19)</f>
        <v/>
      </c>
      <c r="R19" s="41">
        <f>IF(AND(Q19&lt;&gt;"",Q19&lt;-1),-Q19+ROW()/1000000,"")</f>
        <v/>
      </c>
      <c r="S19" s="41">
        <f>IF(Q19="","",I19)</f>
        <v/>
      </c>
    </row>
    <row r="20" ht="24" customHeight="1">
      <c r="A20" s="35">
        <f>Planejado!A19</f>
        <v/>
      </c>
      <c r="B20" s="35">
        <f>Planejado!B19</f>
        <v/>
      </c>
      <c r="C20" s="35">
        <f>Planejado!C19</f>
        <v/>
      </c>
      <c r="D20" s="36">
        <f>Planejado!D19</f>
        <v/>
      </c>
      <c r="E20" s="35">
        <f>Planejado!G19</f>
        <v/>
      </c>
      <c r="F20" s="37">
        <f>INDEX(Planejado!$H19:$S19,$D$3)</f>
        <v/>
      </c>
      <c r="G20" s="37">
        <f>INDEX(Realizado!$H19:$S19,$D$3)</f>
        <v/>
      </c>
      <c r="H20" s="37">
        <f>G20-F20</f>
        <v/>
      </c>
      <c r="I20" s="37">
        <f>SUMPRODUCT((COLUMN(Planejado!$H$4:$S$4)-COLUMN(Planejado!$H$4)+1&lt;=$D$3)*Planejado!$H19:$S19)</f>
        <v/>
      </c>
      <c r="J20" s="37">
        <f>SUMPRODUCT((COLUMN(Realizado!$H$4:$S$4)-COLUMN(Realizado!$H$4)+1&lt;=$D$3)*Realizado!$H19:$S19)</f>
        <v/>
      </c>
      <c r="K20" s="37">
        <f>J20-I20</f>
        <v/>
      </c>
      <c r="L20" s="38">
        <f>IFERROR(K20/I20,"")</f>
        <v/>
      </c>
      <c r="M20" s="38">
        <f>IFERROR(J20/I20,"")</f>
        <v/>
      </c>
      <c r="N20" s="39">
        <f>IF(P20=0,"Sem lançamento",IF(AND(I20=0,J20=0),"—",IF(I20=0,"Não orçado",IF(K20&gt;0.05*I20,"Acima do orçado",IF(K20&lt;-0.05*I20,"Abaixo do orçado","Dentro do orçado")))))</f>
        <v/>
      </c>
      <c r="O20" s="34">
        <f>IF(K20&gt;1,K20+ROW()/1000000,"")</f>
        <v/>
      </c>
      <c r="P20" s="40">
        <f>SUMPRODUCT((COLUMN(Realizado!$H$4:$S$4)-COLUMN(Realizado!$H$4)+1&lt;=$D$3)*(Realizado!$H19:$S19&lt;&gt;""))</f>
        <v/>
      </c>
      <c r="Q20" s="41">
        <f>IF(P20=0,"",K20)</f>
        <v/>
      </c>
      <c r="R20" s="41">
        <f>IF(AND(Q20&lt;&gt;"",Q20&lt;-1),-Q20+ROW()/1000000,"")</f>
        <v/>
      </c>
      <c r="S20" s="41">
        <f>IF(Q20="","",I20)</f>
        <v/>
      </c>
    </row>
    <row r="21" ht="24" customHeight="1">
      <c r="A21" s="35">
        <f>Planejado!A20</f>
        <v/>
      </c>
      <c r="B21" s="35">
        <f>Planejado!B20</f>
        <v/>
      </c>
      <c r="C21" s="35">
        <f>Planejado!C20</f>
        <v/>
      </c>
      <c r="D21" s="36">
        <f>Planejado!D20</f>
        <v/>
      </c>
      <c r="E21" s="35">
        <f>Planejado!G20</f>
        <v/>
      </c>
      <c r="F21" s="37">
        <f>INDEX(Planejado!$H20:$S20,$D$3)</f>
        <v/>
      </c>
      <c r="G21" s="37">
        <f>INDEX(Realizado!$H20:$S20,$D$3)</f>
        <v/>
      </c>
      <c r="H21" s="37">
        <f>G21-F21</f>
        <v/>
      </c>
      <c r="I21" s="37">
        <f>SUMPRODUCT((COLUMN(Planejado!$H$4:$S$4)-COLUMN(Planejado!$H$4)+1&lt;=$D$3)*Planejado!$H20:$S20)</f>
        <v/>
      </c>
      <c r="J21" s="37">
        <f>SUMPRODUCT((COLUMN(Realizado!$H$4:$S$4)-COLUMN(Realizado!$H$4)+1&lt;=$D$3)*Realizado!$H20:$S20)</f>
        <v/>
      </c>
      <c r="K21" s="37">
        <f>J21-I21</f>
        <v/>
      </c>
      <c r="L21" s="38">
        <f>IFERROR(K21/I21,"")</f>
        <v/>
      </c>
      <c r="M21" s="38">
        <f>IFERROR(J21/I21,"")</f>
        <v/>
      </c>
      <c r="N21" s="39">
        <f>IF(P21=0,"Sem lançamento",IF(AND(I21=0,J21=0),"—",IF(I21=0,"Não orçado",IF(K21&gt;0.05*I21,"Acima do orçado",IF(K21&lt;-0.05*I21,"Abaixo do orçado","Dentro do orçado")))))</f>
        <v/>
      </c>
      <c r="O21" s="34">
        <f>IF(K21&gt;1,K21+ROW()/1000000,"")</f>
        <v/>
      </c>
      <c r="P21" s="40">
        <f>SUMPRODUCT((COLUMN(Realizado!$H$4:$S$4)-COLUMN(Realizado!$H$4)+1&lt;=$D$3)*(Realizado!$H20:$S20&lt;&gt;""))</f>
        <v/>
      </c>
      <c r="Q21" s="41">
        <f>IF(P21=0,"",K21)</f>
        <v/>
      </c>
      <c r="R21" s="41">
        <f>IF(AND(Q21&lt;&gt;"",Q21&lt;-1),-Q21+ROW()/1000000,"")</f>
        <v/>
      </c>
      <c r="S21" s="41">
        <f>IF(Q21="","",I21)</f>
        <v/>
      </c>
    </row>
    <row r="22" ht="24" customHeight="1">
      <c r="A22" s="35">
        <f>Planejado!A21</f>
        <v/>
      </c>
      <c r="B22" s="35">
        <f>Planejado!B21</f>
        <v/>
      </c>
      <c r="C22" s="35">
        <f>Planejado!C21</f>
        <v/>
      </c>
      <c r="D22" s="36">
        <f>Planejado!D21</f>
        <v/>
      </c>
      <c r="E22" s="35">
        <f>Planejado!G21</f>
        <v/>
      </c>
      <c r="F22" s="37">
        <f>INDEX(Planejado!$H21:$S21,$D$3)</f>
        <v/>
      </c>
      <c r="G22" s="37">
        <f>INDEX(Realizado!$H21:$S21,$D$3)</f>
        <v/>
      </c>
      <c r="H22" s="37">
        <f>G22-F22</f>
        <v/>
      </c>
      <c r="I22" s="37">
        <f>SUMPRODUCT((COLUMN(Planejado!$H$4:$S$4)-COLUMN(Planejado!$H$4)+1&lt;=$D$3)*Planejado!$H21:$S21)</f>
        <v/>
      </c>
      <c r="J22" s="37">
        <f>SUMPRODUCT((COLUMN(Realizado!$H$4:$S$4)-COLUMN(Realizado!$H$4)+1&lt;=$D$3)*Realizado!$H21:$S21)</f>
        <v/>
      </c>
      <c r="K22" s="37">
        <f>J22-I22</f>
        <v/>
      </c>
      <c r="L22" s="38">
        <f>IFERROR(K22/I22,"")</f>
        <v/>
      </c>
      <c r="M22" s="38">
        <f>IFERROR(J22/I22,"")</f>
        <v/>
      </c>
      <c r="N22" s="39">
        <f>IF(P22=0,"Sem lançamento",IF(AND(I22=0,J22=0),"—",IF(I22=0,"Não orçado",IF(K22&gt;0.05*I22,"Acima do orçado",IF(K22&lt;-0.05*I22,"Abaixo do orçado","Dentro do orçado")))))</f>
        <v/>
      </c>
      <c r="O22" s="34">
        <f>IF(K22&gt;1,K22+ROW()/1000000,"")</f>
        <v/>
      </c>
      <c r="P22" s="40">
        <f>SUMPRODUCT((COLUMN(Realizado!$H$4:$S$4)-COLUMN(Realizado!$H$4)+1&lt;=$D$3)*(Realizado!$H21:$S21&lt;&gt;""))</f>
        <v/>
      </c>
      <c r="Q22" s="41">
        <f>IF(P22=0,"",K22)</f>
        <v/>
      </c>
      <c r="R22" s="41">
        <f>IF(AND(Q22&lt;&gt;"",Q22&lt;-1),-Q22+ROW()/1000000,"")</f>
        <v/>
      </c>
      <c r="S22" s="41">
        <f>IF(Q22="","",I22)</f>
        <v/>
      </c>
    </row>
    <row r="23" ht="24" customHeight="1">
      <c r="A23" s="35">
        <f>Planejado!A22</f>
        <v/>
      </c>
      <c r="B23" s="35">
        <f>Planejado!B22</f>
        <v/>
      </c>
      <c r="C23" s="35">
        <f>Planejado!C22</f>
        <v/>
      </c>
      <c r="D23" s="36">
        <f>Planejado!D22</f>
        <v/>
      </c>
      <c r="E23" s="35">
        <f>Planejado!G22</f>
        <v/>
      </c>
      <c r="F23" s="37">
        <f>INDEX(Planejado!$H22:$S22,$D$3)</f>
        <v/>
      </c>
      <c r="G23" s="37">
        <f>INDEX(Realizado!$H22:$S22,$D$3)</f>
        <v/>
      </c>
      <c r="H23" s="37">
        <f>G23-F23</f>
        <v/>
      </c>
      <c r="I23" s="37">
        <f>SUMPRODUCT((COLUMN(Planejado!$H$4:$S$4)-COLUMN(Planejado!$H$4)+1&lt;=$D$3)*Planejado!$H22:$S22)</f>
        <v/>
      </c>
      <c r="J23" s="37">
        <f>SUMPRODUCT((COLUMN(Realizado!$H$4:$S$4)-COLUMN(Realizado!$H$4)+1&lt;=$D$3)*Realizado!$H22:$S22)</f>
        <v/>
      </c>
      <c r="K23" s="37">
        <f>J23-I23</f>
        <v/>
      </c>
      <c r="L23" s="38">
        <f>IFERROR(K23/I23,"")</f>
        <v/>
      </c>
      <c r="M23" s="38">
        <f>IFERROR(J23/I23,"")</f>
        <v/>
      </c>
      <c r="N23" s="39">
        <f>IF(P23=0,"Sem lançamento",IF(AND(I23=0,J23=0),"—",IF(I23=0,"Não orçado",IF(K23&gt;0.05*I23,"Acima do orçado",IF(K23&lt;-0.05*I23,"Abaixo do orçado","Dentro do orçado")))))</f>
        <v/>
      </c>
      <c r="O23" s="34">
        <f>IF(K23&gt;1,K23+ROW()/1000000,"")</f>
        <v/>
      </c>
      <c r="P23" s="40">
        <f>SUMPRODUCT((COLUMN(Realizado!$H$4:$S$4)-COLUMN(Realizado!$H$4)+1&lt;=$D$3)*(Realizado!$H22:$S22&lt;&gt;""))</f>
        <v/>
      </c>
      <c r="Q23" s="41">
        <f>IF(P23=0,"",K23)</f>
        <v/>
      </c>
      <c r="R23" s="41">
        <f>IF(AND(Q23&lt;&gt;"",Q23&lt;-1),-Q23+ROW()/1000000,"")</f>
        <v/>
      </c>
      <c r="S23" s="41">
        <f>IF(Q23="","",I23)</f>
        <v/>
      </c>
    </row>
    <row r="34">
      <c r="A34" s="42" t="inlineStr">
        <is>
          <t>TOTAL GERAL</t>
        </is>
      </c>
      <c r="B34" s="42" t="n"/>
      <c r="C34" s="42" t="n"/>
      <c r="D34" s="42" t="n"/>
      <c r="E34" s="42" t="n"/>
      <c r="F34" s="43">
        <f>SUM(F6:F23)</f>
        <v/>
      </c>
      <c r="G34" s="43">
        <f>SUM(G6:G23)</f>
        <v/>
      </c>
      <c r="H34" s="43">
        <f>SUM(H6:H23)</f>
        <v/>
      </c>
      <c r="I34" s="43">
        <f>SUM(I6:I23)</f>
        <v/>
      </c>
      <c r="J34" s="43">
        <f>SUM(J6:J23)</f>
        <v/>
      </c>
      <c r="K34" s="43">
        <f>SUM(K6:K23)</f>
        <v/>
      </c>
      <c r="L34" s="44">
        <f>IFERROR(K34/I34,"")</f>
        <v/>
      </c>
      <c r="M34" s="44">
        <f>IFERROR(J34/I34,"")</f>
        <v/>
      </c>
      <c r="N34" s="42" t="n"/>
    </row>
  </sheetData>
  <autoFilter ref="A5:N23"/>
  <mergeCells count="2">
    <mergeCell ref="A2:N2"/>
    <mergeCell ref="A1:N1"/>
  </mergeCells>
  <conditionalFormatting sqref="H6:H23">
    <cfRule type="cellIs" priority="1" operator="greaterThan" dxfId="0">
      <formula>0</formula>
    </cfRule>
    <cfRule type="cellIs" priority="2" operator="lessThan" dxfId="1">
      <formula>0</formula>
    </cfRule>
  </conditionalFormatting>
  <conditionalFormatting sqref="K6:K2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6" t="inlineStr">
        <is>
          <t>ID</t>
        </is>
      </c>
      <c r="B4" s="6" t="inlineStr">
        <is>
          <t>Departamento</t>
        </is>
      </c>
      <c r="C4" s="6" t="inlineStr">
        <is>
          <t>Bloco</t>
        </is>
      </c>
      <c r="D4" s="6" t="inlineStr">
        <is>
          <t>Descrição</t>
        </is>
      </c>
      <c r="E4" s="6" t="inlineStr">
        <is>
          <t>Detalhe / Observação</t>
        </is>
      </c>
      <c r="F4" s="6" t="inlineStr">
        <is>
          <t>Vínculo</t>
        </is>
      </c>
      <c r="G4" s="6" t="inlineStr">
        <is>
          <t>Plano de Contas</t>
        </is>
      </c>
      <c r="H4" s="6" t="inlineStr">
        <is>
          <t>Jan/26</t>
        </is>
      </c>
      <c r="I4" s="6" t="inlineStr">
        <is>
          <t>Fev/26</t>
        </is>
      </c>
      <c r="J4" s="6" t="inlineStr">
        <is>
          <t>Mar/26</t>
        </is>
      </c>
      <c r="K4" s="6" t="inlineStr">
        <is>
          <t>Abr/26</t>
        </is>
      </c>
      <c r="L4" s="6" t="inlineStr">
        <is>
          <t>Mai/26</t>
        </is>
      </c>
      <c r="M4" s="6" t="inlineStr">
        <is>
          <t>Jun/26</t>
        </is>
      </c>
      <c r="N4" s="6" t="inlineStr">
        <is>
          <t>Jul/26</t>
        </is>
      </c>
      <c r="O4" s="6" t="inlineStr">
        <is>
          <t>Ago/26</t>
        </is>
      </c>
      <c r="P4" s="6" t="inlineStr">
        <is>
          <t>Set/26</t>
        </is>
      </c>
      <c r="Q4" s="6" t="inlineStr">
        <is>
          <t>Out/26</t>
        </is>
      </c>
      <c r="R4" s="6" t="inlineStr">
        <is>
          <t>Nov/26</t>
        </is>
      </c>
      <c r="S4" s="6" t="inlineStr">
        <is>
          <t>Dez/26</t>
        </is>
      </c>
      <c r="T4" s="6" t="inlineStr">
        <is>
          <t>TOTAL DO ANO</t>
        </is>
      </c>
    </row>
    <row r="5" ht="26" customHeight="1">
      <c r="A5" s="35" t="inlineStr">
        <is>
          <t>TI-E01</t>
        </is>
      </c>
      <c r="B5" s="35" t="inlineStr">
        <is>
          <t>TI</t>
        </is>
      </c>
      <c r="C5" s="35" t="inlineStr">
        <is>
          <t>Equipe</t>
        </is>
      </c>
      <c r="D5" s="36" t="inlineStr">
        <is>
          <t>Vinicius Di Franco</t>
        </is>
      </c>
      <c r="E5" s="36"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5" s="35" t="inlineStr">
        <is>
          <t>CLT</t>
        </is>
      </c>
      <c r="G5" s="35" t="inlineStr">
        <is>
          <t>Pessoal - CLT</t>
        </is>
      </c>
      <c r="H5" s="37" t="n">
        <v>5416.525</v>
      </c>
      <c r="I5" s="37" t="n">
        <v>5416.525</v>
      </c>
      <c r="J5" s="37" t="n">
        <v>5416.525</v>
      </c>
      <c r="K5" s="37" t="n">
        <v>5416.525</v>
      </c>
      <c r="L5" s="37" t="n">
        <v>5416.525</v>
      </c>
      <c r="M5" s="37" t="n">
        <v>5416.525</v>
      </c>
      <c r="N5" s="37" t="n">
        <v>5416.525</v>
      </c>
      <c r="O5" s="37" t="n">
        <v>5416.525</v>
      </c>
      <c r="P5" s="37" t="n">
        <v>5416.525</v>
      </c>
      <c r="Q5" s="37" t="n">
        <v>5416.525</v>
      </c>
      <c r="R5" s="37" t="n">
        <v>5416.525</v>
      </c>
      <c r="S5" s="37" t="n">
        <v>5416.525</v>
      </c>
      <c r="T5" s="45">
        <f>SUM(H5:S5)</f>
        <v/>
      </c>
    </row>
    <row r="6" ht="26" customHeight="1">
      <c r="A6" s="35" t="inlineStr">
        <is>
          <t>TI-E02</t>
        </is>
      </c>
      <c r="B6" s="35" t="inlineStr">
        <is>
          <t>TI</t>
        </is>
      </c>
      <c r="C6" s="35" t="inlineStr">
        <is>
          <t>Equipe</t>
        </is>
      </c>
      <c r="D6" s="36" t="inlineStr">
        <is>
          <t>Elias Benedito</t>
        </is>
      </c>
      <c r="E6" s="36" t="inlineStr">
        <is>
          <t>Suporte Técnico Terceirizado — R$ 1.065/mês até ago/26; R$ 603,30 a partir de set/26 (renegociação)</t>
        </is>
      </c>
      <c r="F6" s="35" t="inlineStr">
        <is>
          <t>PJ</t>
        </is>
      </c>
      <c r="G6" s="35" t="inlineStr">
        <is>
          <t>Pessoal - PJ</t>
        </is>
      </c>
      <c r="H6" s="37" t="n">
        <v>1065</v>
      </c>
      <c r="I6" s="37" t="n">
        <v>1065</v>
      </c>
      <c r="J6" s="37" t="n">
        <v>1065</v>
      </c>
      <c r="K6" s="37" t="n">
        <v>1065</v>
      </c>
      <c r="L6" s="37" t="n">
        <v>1065</v>
      </c>
      <c r="M6" s="37" t="n">
        <v>1065</v>
      </c>
      <c r="N6" s="37" t="n">
        <v>1065</v>
      </c>
      <c r="O6" s="37" t="n">
        <v>1065</v>
      </c>
      <c r="P6" s="37" t="n">
        <v>603.3</v>
      </c>
      <c r="Q6" s="37" t="n">
        <v>603.3</v>
      </c>
      <c r="R6" s="37" t="n">
        <v>603.3</v>
      </c>
      <c r="S6" s="37" t="n">
        <v>603.3</v>
      </c>
      <c r="T6" s="45">
        <f>SUM(H6:S6)</f>
        <v/>
      </c>
    </row>
    <row r="7" ht="26" customHeight="1">
      <c r="A7" s="35" t="inlineStr">
        <is>
          <t>TI-E03</t>
        </is>
      </c>
      <c r="B7" s="35" t="inlineStr">
        <is>
          <t>TI</t>
        </is>
      </c>
      <c r="C7" s="35" t="inlineStr">
        <is>
          <t>Equipe</t>
        </is>
      </c>
      <c r="D7" s="36" t="inlineStr">
        <is>
          <t>Jonathan — consultor (desde abr/26)</t>
        </is>
      </c>
      <c r="E7" s="36" t="inlineStr">
        <is>
          <t>Consultor/desenvolvedor, 3 dias por semana (104 h/mês) desde abr/26. Orçado em R$ 10.000/mês desde jan/26; a contratação foi segurada por três meses. Credor no SIENGE: J H ALVES — MONITOR REMOTO</t>
        </is>
      </c>
      <c r="F7" s="35" t="inlineStr">
        <is>
          <t>PJ</t>
        </is>
      </c>
      <c r="G7" s="35" t="inlineStr">
        <is>
          <t>Pessoal - PJ</t>
        </is>
      </c>
      <c r="H7" s="37" t="n">
        <v>10000</v>
      </c>
      <c r="I7" s="37" t="n">
        <v>10000</v>
      </c>
      <c r="J7" s="37" t="n">
        <v>10000</v>
      </c>
      <c r="K7" s="37" t="n">
        <v>10000</v>
      </c>
      <c r="L7" s="37" t="n">
        <v>10000</v>
      </c>
      <c r="M7" s="37" t="n">
        <v>10000</v>
      </c>
      <c r="N7" s="37" t="n">
        <v>10000</v>
      </c>
      <c r="O7" s="37" t="n">
        <v>10000</v>
      </c>
      <c r="P7" s="37" t="n">
        <v>10000</v>
      </c>
      <c r="Q7" s="37" t="n">
        <v>10000</v>
      </c>
      <c r="R7" s="37" t="n">
        <v>10000</v>
      </c>
      <c r="S7" s="37" t="n">
        <v>10000</v>
      </c>
      <c r="T7" s="45">
        <f>SUM(H7:S7)</f>
        <v/>
      </c>
    </row>
    <row r="8" ht="26" customHeight="1">
      <c r="A8" s="35" t="inlineStr">
        <is>
          <t>TI-E04</t>
        </is>
      </c>
      <c r="B8" s="35" t="inlineStr">
        <is>
          <t>TI</t>
        </is>
      </c>
      <c r="C8" s="35" t="inlineStr">
        <is>
          <t>Equipe</t>
        </is>
      </c>
      <c r="D8" s="36" t="inlineStr">
        <is>
          <t>Monitor Remoto — serviços esporádicos (até mar/26)</t>
        </is>
      </c>
      <c r="E8" s="36" t="inlineStr">
        <is>
          <t>Mesmo prestador do TI-E03, em vínculo anterior: serviços esporádicos prestados de fora, encerrados quando ele passou a atuar como consultor fixo em abr/26. Não constava na ficha de orçamento</t>
        </is>
      </c>
      <c r="F8" s="35" t="inlineStr">
        <is>
          <t>PJ</t>
        </is>
      </c>
      <c r="G8" s="35" t="inlineStr">
        <is>
          <t>Pessoal - PJ</t>
        </is>
      </c>
      <c r="H8" s="37" t="n">
        <v>0</v>
      </c>
      <c r="I8" s="37" t="n">
        <v>0</v>
      </c>
      <c r="J8" s="37" t="n">
        <v>0</v>
      </c>
      <c r="K8" s="37" t="n">
        <v>0</v>
      </c>
      <c r="L8" s="37" t="n">
        <v>0</v>
      </c>
      <c r="M8" s="37" t="n">
        <v>0</v>
      </c>
      <c r="N8" s="37" t="n">
        <v>0</v>
      </c>
      <c r="O8" s="37" t="n">
        <v>0</v>
      </c>
      <c r="P8" s="37" t="n">
        <v>0</v>
      </c>
      <c r="Q8" s="37" t="n">
        <v>0</v>
      </c>
      <c r="R8" s="37" t="n">
        <v>0</v>
      </c>
      <c r="S8" s="37" t="n">
        <v>0</v>
      </c>
      <c r="T8" s="45">
        <f>SUM(H8:S8)</f>
        <v/>
      </c>
    </row>
    <row r="9" ht="26" customHeight="1">
      <c r="A9" s="35" t="inlineStr">
        <is>
          <t>TI-D01</t>
        </is>
      </c>
      <c r="B9" s="35" t="inlineStr">
        <is>
          <t>TI</t>
        </is>
      </c>
      <c r="C9" s="35" t="inlineStr">
        <is>
          <t>Despesas</t>
        </is>
      </c>
      <c r="D9" s="36" t="inlineStr">
        <is>
          <t>Peças de Manutenção</t>
        </is>
      </c>
      <c r="E9" s="36" t="inlineStr">
        <is>
          <t>Tela, teclado, carcaça, mouses de reposição, carregadores etc.</t>
        </is>
      </c>
      <c r="F9" s="35" t="inlineStr"/>
      <c r="G9" s="35" t="inlineStr">
        <is>
          <t>Equipamentos Eletrônicos Diversos</t>
        </is>
      </c>
      <c r="H9" s="37" t="n">
        <v>810</v>
      </c>
      <c r="I9" s="37" t="n">
        <v>810</v>
      </c>
      <c r="J9" s="37" t="n">
        <v>810</v>
      </c>
      <c r="K9" s="37" t="n">
        <v>810</v>
      </c>
      <c r="L9" s="37" t="n">
        <v>810</v>
      </c>
      <c r="M9" s="37" t="n">
        <v>810</v>
      </c>
      <c r="N9" s="37" t="n">
        <v>810</v>
      </c>
      <c r="O9" s="37" t="n">
        <v>810</v>
      </c>
      <c r="P9" s="37" t="n">
        <v>810</v>
      </c>
      <c r="Q9" s="37" t="n">
        <v>810</v>
      </c>
      <c r="R9" s="37" t="n">
        <v>810</v>
      </c>
      <c r="S9" s="37" t="n">
        <v>810</v>
      </c>
      <c r="T9" s="45">
        <f>SUM(H9:S9)</f>
        <v/>
      </c>
    </row>
    <row r="10" ht="26" customHeight="1">
      <c r="A10" s="35" t="inlineStr">
        <is>
          <t>TI-D02</t>
        </is>
      </c>
      <c r="B10" s="35" t="inlineStr">
        <is>
          <t>TI</t>
        </is>
      </c>
      <c r="C10" s="35" t="inlineStr">
        <is>
          <t>Despesas</t>
        </is>
      </c>
      <c r="D10" s="36" t="inlineStr">
        <is>
          <t>Backup em Nuvem</t>
        </is>
      </c>
      <c r="E10" s="36" t="inlineStr">
        <is>
          <t>Serviço de backup em nuvem para servidor — RATEIO A DEFINIR</t>
        </is>
      </c>
      <c r="F10" s="35" t="inlineStr"/>
      <c r="G10" s="35" t="inlineStr">
        <is>
          <t>Licenças de Softwares</t>
        </is>
      </c>
      <c r="H10" s="37" t="n">
        <v>825</v>
      </c>
      <c r="I10" s="37" t="n">
        <v>825</v>
      </c>
      <c r="J10" s="37" t="n">
        <v>825</v>
      </c>
      <c r="K10" s="37" t="n">
        <v>825</v>
      </c>
      <c r="L10" s="37" t="n">
        <v>825</v>
      </c>
      <c r="M10" s="37" t="n">
        <v>825</v>
      </c>
      <c r="N10" s="37" t="n">
        <v>825</v>
      </c>
      <c r="O10" s="37" t="n">
        <v>825</v>
      </c>
      <c r="P10" s="37" t="n">
        <v>825</v>
      </c>
      <c r="Q10" s="37" t="n">
        <v>825</v>
      </c>
      <c r="R10" s="37" t="n">
        <v>825</v>
      </c>
      <c r="S10" s="37" t="n">
        <v>825</v>
      </c>
      <c r="T10" s="45">
        <f>SUM(H10:S10)</f>
        <v/>
      </c>
    </row>
    <row r="11" ht="26" customHeight="1">
      <c r="A11" s="35" t="inlineStr">
        <is>
          <t>TI-D03</t>
        </is>
      </c>
      <c r="B11" s="35" t="inlineStr">
        <is>
          <t>TI</t>
        </is>
      </c>
      <c r="C11" s="35" t="inlineStr">
        <is>
          <t>Despesas</t>
        </is>
      </c>
      <c r="D11" s="36" t="inlineStr">
        <is>
          <t>Inteligência Artificial (Adapta)</t>
        </is>
      </c>
      <c r="E11" s="36" t="inlineStr">
        <is>
          <t>Plataforma de IA para utilização de agentes — RATEIO A DEFINIR. Pagamentos reais de R$ 575/mês estão lançados no centro de custo Jurídico por engano (ver pendência Q)</t>
        </is>
      </c>
      <c r="F11" s="35" t="inlineStr"/>
      <c r="G11" s="35" t="inlineStr">
        <is>
          <t>Licenças de Softwares</t>
        </is>
      </c>
      <c r="H11" s="37" t="n">
        <v>1300</v>
      </c>
      <c r="I11" s="37" t="n">
        <v>1300</v>
      </c>
      <c r="J11" s="37" t="n">
        <v>1300</v>
      </c>
      <c r="K11" s="37" t="n">
        <v>1300</v>
      </c>
      <c r="L11" s="37" t="n">
        <v>1300</v>
      </c>
      <c r="M11" s="37" t="n">
        <v>1300</v>
      </c>
      <c r="N11" s="37" t="n">
        <v>1600</v>
      </c>
      <c r="O11" s="37" t="n">
        <v>1600</v>
      </c>
      <c r="P11" s="37" t="n">
        <v>1600</v>
      </c>
      <c r="Q11" s="37" t="n">
        <v>1600</v>
      </c>
      <c r="R11" s="37" t="n">
        <v>1600</v>
      </c>
      <c r="S11" s="37" t="n">
        <v>1600</v>
      </c>
      <c r="T11" s="45">
        <f>SUM(H11:S11)</f>
        <v/>
      </c>
    </row>
    <row r="12" ht="26" customHeight="1">
      <c r="A12" s="35" t="inlineStr">
        <is>
          <t>TI-D04</t>
        </is>
      </c>
      <c r="B12" s="35" t="inlineStr">
        <is>
          <t>TI</t>
        </is>
      </c>
      <c r="C12" s="35" t="inlineStr">
        <is>
          <t>Despesas</t>
        </is>
      </c>
      <c r="D12" s="36" t="inlineStr">
        <is>
          <t>Antivírus</t>
        </is>
      </c>
      <c r="E12" s="36" t="inlineStr">
        <is>
          <t>Proteção para equipamentos — RATEIO A DEFINIR</t>
        </is>
      </c>
      <c r="F12" s="35" t="inlineStr"/>
      <c r="G12" s="35" t="inlineStr">
        <is>
          <t>Licenças de Softwares</t>
        </is>
      </c>
      <c r="H12" s="37" t="n">
        <v>240</v>
      </c>
      <c r="I12" s="37" t="n">
        <v>240</v>
      </c>
      <c r="J12" s="37" t="n">
        <v>240</v>
      </c>
      <c r="K12" s="37" t="n">
        <v>240</v>
      </c>
      <c r="L12" s="37" t="n">
        <v>240</v>
      </c>
      <c r="M12" s="37" t="n">
        <v>240</v>
      </c>
      <c r="N12" s="37" t="n">
        <v>240</v>
      </c>
      <c r="O12" s="37" t="n">
        <v>240</v>
      </c>
      <c r="P12" s="37" t="n">
        <v>240</v>
      </c>
      <c r="Q12" s="37" t="n">
        <v>240</v>
      </c>
      <c r="R12" s="37" t="n">
        <v>240</v>
      </c>
      <c r="S12" s="37" t="n">
        <v>240</v>
      </c>
      <c r="T12" s="45">
        <f>SUM(H12:S12)</f>
        <v/>
      </c>
    </row>
    <row r="13" ht="26" customHeight="1">
      <c r="A13" s="35" t="inlineStr">
        <is>
          <t>TI-D05</t>
        </is>
      </c>
      <c r="B13" s="35" t="inlineStr">
        <is>
          <t>TI</t>
        </is>
      </c>
      <c r="C13" s="35" t="inlineStr">
        <is>
          <t>Despesas</t>
        </is>
      </c>
      <c r="D13" s="36" t="inlineStr">
        <is>
          <t>Pacote Office 365</t>
        </is>
      </c>
      <c r="E13" s="36" t="inlineStr">
        <is>
          <t>Licenças de software (conferir nº de licenças x usuários) — RATEIO A DEFINIR</t>
        </is>
      </c>
      <c r="F13" s="35" t="inlineStr"/>
      <c r="G13" s="35" t="inlineStr">
        <is>
          <t>Licenças de Softwares</t>
        </is>
      </c>
      <c r="H13" s="37" t="n">
        <v>375</v>
      </c>
      <c r="I13" s="37" t="n">
        <v>375</v>
      </c>
      <c r="J13" s="37" t="n">
        <v>375</v>
      </c>
      <c r="K13" s="37" t="n">
        <v>375</v>
      </c>
      <c r="L13" s="37" t="n">
        <v>375</v>
      </c>
      <c r="M13" s="37" t="n">
        <v>375</v>
      </c>
      <c r="N13" s="37" t="n">
        <v>375</v>
      </c>
      <c r="O13" s="37" t="n">
        <v>375</v>
      </c>
      <c r="P13" s="37" t="n">
        <v>375</v>
      </c>
      <c r="Q13" s="37" t="n">
        <v>375</v>
      </c>
      <c r="R13" s="37" t="n">
        <v>375</v>
      </c>
      <c r="S13" s="37" t="n">
        <v>375</v>
      </c>
      <c r="T13" s="45">
        <f>SUM(H13:S13)</f>
        <v/>
      </c>
    </row>
    <row r="14" ht="26" customHeight="1">
      <c r="A14" s="35" t="inlineStr">
        <is>
          <t>TI-D06</t>
        </is>
      </c>
      <c r="B14" s="35" t="inlineStr">
        <is>
          <t>TI</t>
        </is>
      </c>
      <c r="C14" s="35" t="inlineStr">
        <is>
          <t>Despesas</t>
        </is>
      </c>
      <c r="D14" s="36" t="inlineStr">
        <is>
          <t>Projeto Melhoria de Infraestrutura - Sala de Reunião</t>
        </is>
      </c>
      <c r="E14" s="36" t="inlineStr">
        <is>
          <t>Cadeiras, cafeteira, copos, canetas, blocos personalizados, câmeras, microfones etc. APROVADO no escopo completo. Definir se é compra pontual ou parcelada — hoje está diluída linearmente em 12 meses</t>
        </is>
      </c>
      <c r="F14" s="35" t="inlineStr"/>
      <c r="G14" s="35" t="inlineStr">
        <is>
          <t>Móveis e Utensílios</t>
        </is>
      </c>
      <c r="H14" s="37" t="n">
        <v>2800</v>
      </c>
      <c r="I14" s="37" t="n">
        <v>2800</v>
      </c>
      <c r="J14" s="37" t="n">
        <v>2800</v>
      </c>
      <c r="K14" s="37" t="n">
        <v>2800</v>
      </c>
      <c r="L14" s="37" t="n">
        <v>2800</v>
      </c>
      <c r="M14" s="37" t="n">
        <v>2800</v>
      </c>
      <c r="N14" s="37" t="n">
        <v>2800</v>
      </c>
      <c r="O14" s="37" t="n">
        <v>2800</v>
      </c>
      <c r="P14" s="37" t="n">
        <v>2800</v>
      </c>
      <c r="Q14" s="37" t="n">
        <v>2800</v>
      </c>
      <c r="R14" s="37" t="n">
        <v>2800</v>
      </c>
      <c r="S14" s="37" t="n">
        <v>2800</v>
      </c>
      <c r="T14" s="45">
        <f>SUM(H14:S14)</f>
        <v/>
      </c>
    </row>
    <row r="15" ht="26" customHeight="1">
      <c r="A15" s="35" t="inlineStr">
        <is>
          <t>TI-D07</t>
        </is>
      </c>
      <c r="B15" s="35" t="inlineStr">
        <is>
          <t>TI</t>
        </is>
      </c>
      <c r="C15" s="35" t="inlineStr">
        <is>
          <t>Despesas</t>
        </is>
      </c>
      <c r="D15" s="36" t="inlineStr">
        <is>
          <t>Cursos e Treinamentos</t>
        </is>
      </c>
      <c r="E15" s="36" t="inlineStr"/>
      <c r="F15" s="35" t="inlineStr"/>
      <c r="G15" s="35" t="inlineStr">
        <is>
          <t>Custeio de Treinamento</t>
        </is>
      </c>
      <c r="H15" s="37" t="n">
        <v>200</v>
      </c>
      <c r="I15" s="37" t="n">
        <v>200</v>
      </c>
      <c r="J15" s="37" t="n">
        <v>200</v>
      </c>
      <c r="K15" s="37" t="n">
        <v>200</v>
      </c>
      <c r="L15" s="37" t="n">
        <v>200</v>
      </c>
      <c r="M15" s="37" t="n">
        <v>200</v>
      </c>
      <c r="N15" s="37" t="n">
        <v>200</v>
      </c>
      <c r="O15" s="37" t="n">
        <v>200</v>
      </c>
      <c r="P15" s="37" t="n">
        <v>200</v>
      </c>
      <c r="Q15" s="37" t="n">
        <v>200</v>
      </c>
      <c r="R15" s="37" t="n">
        <v>200</v>
      </c>
      <c r="S15" s="37" t="n">
        <v>200</v>
      </c>
      <c r="T15" s="45">
        <f>SUM(H15:S15)</f>
        <v/>
      </c>
    </row>
    <row r="16" ht="26" customHeight="1">
      <c r="A16" s="35" t="inlineStr">
        <is>
          <t>TI-D08</t>
        </is>
      </c>
      <c r="B16" s="35" t="inlineStr">
        <is>
          <t>TI</t>
        </is>
      </c>
      <c r="C16" s="35" t="inlineStr">
        <is>
          <t>Despesas</t>
        </is>
      </c>
      <c r="D16" s="36" t="inlineStr">
        <is>
          <t>Aplicativo de Gravação de Reunião</t>
        </is>
      </c>
      <c r="E16" s="36" t="inlineStr"/>
      <c r="F16" s="35" t="inlineStr"/>
      <c r="G16" s="35" t="inlineStr">
        <is>
          <t>Licenças de Softwares</t>
        </is>
      </c>
      <c r="H16" s="37" t="n">
        <v>220</v>
      </c>
      <c r="I16" s="37" t="n">
        <v>220</v>
      </c>
      <c r="J16" s="37" t="n">
        <v>220</v>
      </c>
      <c r="K16" s="37" t="n">
        <v>220</v>
      </c>
      <c r="L16" s="37" t="n">
        <v>220</v>
      </c>
      <c r="M16" s="37" t="n">
        <v>220</v>
      </c>
      <c r="N16" s="37" t="n">
        <v>220</v>
      </c>
      <c r="O16" s="37" t="n">
        <v>220</v>
      </c>
      <c r="P16" s="37" t="n">
        <v>220</v>
      </c>
      <c r="Q16" s="37" t="n">
        <v>220</v>
      </c>
      <c r="R16" s="37" t="n">
        <v>220</v>
      </c>
      <c r="S16" s="37" t="n">
        <v>220</v>
      </c>
      <c r="T16" s="45">
        <f>SUM(H16:S16)</f>
        <v/>
      </c>
    </row>
    <row r="17" ht="26" customHeight="1">
      <c r="A17" s="35" t="inlineStr">
        <is>
          <t>TI-D10</t>
        </is>
      </c>
      <c r="B17" s="35" t="inlineStr">
        <is>
          <t>TI</t>
        </is>
      </c>
      <c r="C17" s="35" t="inlineStr">
        <is>
          <t>Despesas</t>
        </is>
      </c>
      <c r="D17" s="36" t="inlineStr">
        <is>
          <t>Claude</t>
        </is>
      </c>
      <c r="E17" s="36" t="inlineStr">
        <is>
          <t>Ferramenta de IA — não constava na ficha. Planejado a definir com a diretoria. RATEIO A DEFINIR: uso transversal entre as áreas</t>
        </is>
      </c>
      <c r="F17" s="35" t="inlineStr"/>
      <c r="G17" s="35" t="inlineStr">
        <is>
          <t>Licenças de Softwares</t>
        </is>
      </c>
      <c r="H17" s="37" t="n">
        <v>0</v>
      </c>
      <c r="I17" s="37" t="n">
        <v>0</v>
      </c>
      <c r="J17" s="37" t="n">
        <v>0</v>
      </c>
      <c r="K17" s="37" t="n">
        <v>0</v>
      </c>
      <c r="L17" s="37" t="n">
        <v>0</v>
      </c>
      <c r="M17" s="37" t="n">
        <v>0</v>
      </c>
      <c r="N17" s="37" t="n">
        <v>0</v>
      </c>
      <c r="O17" s="37" t="n">
        <v>0</v>
      </c>
      <c r="P17" s="37" t="n">
        <v>0</v>
      </c>
      <c r="Q17" s="37" t="n">
        <v>0</v>
      </c>
      <c r="R17" s="37" t="n">
        <v>0</v>
      </c>
      <c r="S17" s="37" t="n">
        <v>0</v>
      </c>
      <c r="T17" s="45">
        <f>SUM(H17:S17)</f>
        <v/>
      </c>
    </row>
    <row r="18" ht="26" customHeight="1">
      <c r="A18" s="35" t="inlineStr">
        <is>
          <t>TI-D11</t>
        </is>
      </c>
      <c r="B18" s="35" t="inlineStr">
        <is>
          <t>TI</t>
        </is>
      </c>
      <c r="C18" s="35" t="inlineStr">
        <is>
          <t>Despesas</t>
        </is>
      </c>
      <c r="D18" s="36" t="inlineStr">
        <is>
          <t>GPT</t>
        </is>
      </c>
      <c r="E18" s="36" t="inlineStr">
        <is>
          <t>Ferramenta de IA — não constava na ficha. Planejado a definir com a diretoria. RATEIO A DEFINIR: uso transversal entre as áreas</t>
        </is>
      </c>
      <c r="F18" s="35" t="inlineStr"/>
      <c r="G18" s="35" t="inlineStr">
        <is>
          <t>Licenças de Softwares</t>
        </is>
      </c>
      <c r="H18" s="37" t="n">
        <v>0</v>
      </c>
      <c r="I18" s="37" t="n">
        <v>0</v>
      </c>
      <c r="J18" s="37" t="n">
        <v>0</v>
      </c>
      <c r="K18" s="37" t="n">
        <v>0</v>
      </c>
      <c r="L18" s="37" t="n">
        <v>0</v>
      </c>
      <c r="M18" s="37" t="n">
        <v>0</v>
      </c>
      <c r="N18" s="37" t="n">
        <v>0</v>
      </c>
      <c r="O18" s="37" t="n">
        <v>0</v>
      </c>
      <c r="P18" s="37" t="n">
        <v>0</v>
      </c>
      <c r="Q18" s="37" t="n">
        <v>0</v>
      </c>
      <c r="R18" s="37" t="n">
        <v>0</v>
      </c>
      <c r="S18" s="37" t="n">
        <v>0</v>
      </c>
      <c r="T18" s="45">
        <f>SUM(H18:S18)</f>
        <v/>
      </c>
    </row>
    <row r="19" ht="26" customHeight="1">
      <c r="A19" s="35" t="inlineStr">
        <is>
          <t>TI-D12</t>
        </is>
      </c>
      <c r="B19" s="35" t="inlineStr">
        <is>
          <t>TI</t>
        </is>
      </c>
      <c r="C19" s="35" t="inlineStr">
        <is>
          <t>Despesas</t>
        </is>
      </c>
      <c r="D19" s="36" t="inlineStr">
        <is>
          <t>Adapta One</t>
        </is>
      </c>
      <c r="E19" s="36" t="inlineStr">
        <is>
          <t>Ferramenta de IA — não constava na ficha. Planejado a definir com a diretoria. RATEIO A DEFINIR: uso transversal entre as áreas. CONFERIR sobreposição com a linha 'Inteligência Artificial (Adapta)'</t>
        </is>
      </c>
      <c r="F19" s="35" t="inlineStr"/>
      <c r="G19" s="35" t="inlineStr">
        <is>
          <t>Licenças de Softwares</t>
        </is>
      </c>
      <c r="H19" s="37" t="n">
        <v>0</v>
      </c>
      <c r="I19" s="37" t="n">
        <v>0</v>
      </c>
      <c r="J19" s="37" t="n">
        <v>0</v>
      </c>
      <c r="K19" s="37" t="n">
        <v>0</v>
      </c>
      <c r="L19" s="37" t="n">
        <v>0</v>
      </c>
      <c r="M19" s="37" t="n">
        <v>0</v>
      </c>
      <c r="N19" s="37" t="n">
        <v>0</v>
      </c>
      <c r="O19" s="37" t="n">
        <v>0</v>
      </c>
      <c r="P19" s="37" t="n">
        <v>0</v>
      </c>
      <c r="Q19" s="37" t="n">
        <v>0</v>
      </c>
      <c r="R19" s="37" t="n">
        <v>0</v>
      </c>
      <c r="S19" s="37" t="n">
        <v>0</v>
      </c>
      <c r="T19" s="45">
        <f>SUM(H19:S19)</f>
        <v/>
      </c>
    </row>
    <row r="20" ht="26" customHeight="1">
      <c r="A20" s="35" t="inlineStr">
        <is>
          <t>TI-D13</t>
        </is>
      </c>
      <c r="B20" s="35" t="inlineStr">
        <is>
          <t>TI</t>
        </is>
      </c>
      <c r="C20" s="35" t="inlineStr">
        <is>
          <t>Despesas</t>
        </is>
      </c>
      <c r="D20" s="36" t="inlineStr">
        <is>
          <t>Adapta Skip</t>
        </is>
      </c>
      <c r="E20" s="36" t="inlineStr">
        <is>
          <t>Ferramenta de IA — não constava na ficha. Planejado a definir com a diretoria. RATEIO A DEFINIR: uso transversal entre as áreas. CONFERIR o nome exato do produto e a sobreposição com 'Inteligência Artificial (Adapta)'</t>
        </is>
      </c>
      <c r="F20" s="35" t="inlineStr"/>
      <c r="G20" s="35" t="inlineStr">
        <is>
          <t>Licenças de Softwares</t>
        </is>
      </c>
      <c r="H20" s="37" t="n">
        <v>0</v>
      </c>
      <c r="I20" s="37" t="n">
        <v>0</v>
      </c>
      <c r="J20" s="37" t="n">
        <v>0</v>
      </c>
      <c r="K20" s="37" t="n">
        <v>0</v>
      </c>
      <c r="L20" s="37" t="n">
        <v>0</v>
      </c>
      <c r="M20" s="37" t="n">
        <v>0</v>
      </c>
      <c r="N20" s="37" t="n">
        <v>0</v>
      </c>
      <c r="O20" s="37" t="n">
        <v>0</v>
      </c>
      <c r="P20" s="37" t="n">
        <v>0</v>
      </c>
      <c r="Q20" s="37" t="n">
        <v>0</v>
      </c>
      <c r="R20" s="37" t="n">
        <v>0</v>
      </c>
      <c r="S20" s="37" t="n">
        <v>0</v>
      </c>
      <c r="T20" s="45">
        <f>SUM(H20:S20)</f>
        <v/>
      </c>
    </row>
    <row r="21" ht="26" customHeight="1">
      <c r="A21" s="35" t="inlineStr">
        <is>
          <t>TI-D14</t>
        </is>
      </c>
      <c r="B21" s="35" t="inlineStr">
        <is>
          <t>TI</t>
        </is>
      </c>
      <c r="C21" s="35" t="inlineStr">
        <is>
          <t>Despesas</t>
        </is>
      </c>
      <c r="D21" s="36" t="inlineStr">
        <is>
          <t>AnyDesk</t>
        </is>
      </c>
      <c r="E21" s="36" t="inlineStr">
        <is>
          <t>Licença de acesso remoto — contratação prevista, não constava na ficha. Valor e mês de início a definir. CONFERIR sobreposição com o serviço de monitoramento remoto já contratado (J H Alves)</t>
        </is>
      </c>
      <c r="F21" s="35" t="inlineStr"/>
      <c r="G21" s="35" t="inlineStr">
        <is>
          <t>Licenças de Softwares</t>
        </is>
      </c>
      <c r="H21" s="37" t="n">
        <v>0</v>
      </c>
      <c r="I21" s="37" t="n">
        <v>0</v>
      </c>
      <c r="J21" s="37" t="n">
        <v>0</v>
      </c>
      <c r="K21" s="37" t="n">
        <v>0</v>
      </c>
      <c r="L21" s="37" t="n">
        <v>0</v>
      </c>
      <c r="M21" s="37" t="n">
        <v>0</v>
      </c>
      <c r="N21" s="37" t="n">
        <v>0</v>
      </c>
      <c r="O21" s="37" t="n">
        <v>0</v>
      </c>
      <c r="P21" s="37" t="n">
        <v>0</v>
      </c>
      <c r="Q21" s="37" t="n">
        <v>0</v>
      </c>
      <c r="R21" s="37" t="n">
        <v>0</v>
      </c>
      <c r="S21" s="37" t="n">
        <v>0</v>
      </c>
      <c r="T21" s="45">
        <f>SUM(H21:S21)</f>
        <v/>
      </c>
    </row>
    <row r="22" ht="26" customHeight="1">
      <c r="A22" s="35" t="inlineStr">
        <is>
          <t>TI-D09</t>
        </is>
      </c>
      <c r="B22" s="35" t="inlineStr">
        <is>
          <t>TI</t>
        </is>
      </c>
      <c r="C22" s="35" t="inlineStr">
        <is>
          <t>Despesas</t>
        </is>
      </c>
      <c r="D22" s="36" t="inlineStr">
        <is>
          <t>Bonificação do time</t>
        </is>
      </c>
      <c r="E22" s="36" t="inlineStr">
        <is>
          <t>Cumprimento de prazos e participação em projetos — CONFIRMAR se houve parcela no 1º quadrimestre</t>
        </is>
      </c>
      <c r="F22" s="35" t="inlineStr"/>
      <c r="G22" s="35" t="inlineStr">
        <is>
          <t>Prêmios</t>
        </is>
      </c>
      <c r="H22" s="37" t="n">
        <v>0</v>
      </c>
      <c r="I22" s="37" t="n">
        <v>0</v>
      </c>
      <c r="J22" s="37" t="n">
        <v>0</v>
      </c>
      <c r="K22" s="37" t="n">
        <v>0</v>
      </c>
      <c r="L22" s="37" t="n">
        <v>0</v>
      </c>
      <c r="M22" s="37" t="n">
        <v>0</v>
      </c>
      <c r="N22" s="37" t="n">
        <v>0</v>
      </c>
      <c r="O22" s="37" t="n">
        <v>2400</v>
      </c>
      <c r="P22" s="37" t="n">
        <v>0</v>
      </c>
      <c r="Q22" s="37" t="n">
        <v>0</v>
      </c>
      <c r="R22" s="37" t="n">
        <v>0</v>
      </c>
      <c r="S22" s="37" t="n">
        <v>3600</v>
      </c>
      <c r="T22" s="45">
        <f>SUM(H22:S22)</f>
        <v/>
      </c>
    </row>
    <row r="23">
      <c r="A23" s="42" t="inlineStr">
        <is>
          <t>TOTAL GERAL</t>
        </is>
      </c>
      <c r="B23" s="42" t="n"/>
      <c r="C23" s="42" t="n"/>
      <c r="D23" s="42" t="n"/>
      <c r="E23" s="42" t="n"/>
      <c r="F23" s="42" t="n"/>
      <c r="G23" s="42" t="n"/>
      <c r="H23" s="43">
        <f>SUM(H5:H22)</f>
        <v/>
      </c>
      <c r="I23" s="43">
        <f>SUM(I5:I22)</f>
        <v/>
      </c>
      <c r="J23" s="43">
        <f>SUM(J5:J22)</f>
        <v/>
      </c>
      <c r="K23" s="43">
        <f>SUM(K5:K22)</f>
        <v/>
      </c>
      <c r="L23" s="43">
        <f>SUM(L5:L22)</f>
        <v/>
      </c>
      <c r="M23" s="43">
        <f>SUM(M5:M22)</f>
        <v/>
      </c>
      <c r="N23" s="43">
        <f>SUM(N5:N22)</f>
        <v/>
      </c>
      <c r="O23" s="43">
        <f>SUM(O5:O22)</f>
        <v/>
      </c>
      <c r="P23" s="43">
        <f>SUM(P5:P22)</f>
        <v/>
      </c>
      <c r="Q23" s="43">
        <f>SUM(Q5:Q22)</f>
        <v/>
      </c>
      <c r="R23" s="43">
        <f>SUM(R5:R22)</f>
        <v/>
      </c>
      <c r="S23" s="43">
        <f>SUM(S5:S22)</f>
        <v/>
      </c>
      <c r="T23" s="43">
        <f>SUM(T5:T22)</f>
        <v/>
      </c>
    </row>
  </sheetData>
  <autoFilter ref="A4:T2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2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46" t="inlineStr">
        <is>
          <t>ID</t>
        </is>
      </c>
      <c r="B4" s="46" t="inlineStr">
        <is>
          <t>Departamento</t>
        </is>
      </c>
      <c r="C4" s="46" t="inlineStr">
        <is>
          <t>Bloco</t>
        </is>
      </c>
      <c r="D4" s="46" t="inlineStr">
        <is>
          <t>Descrição</t>
        </is>
      </c>
      <c r="E4" s="46" t="inlineStr">
        <is>
          <t>Detalhe / Observação</t>
        </is>
      </c>
      <c r="F4" s="46" t="inlineStr">
        <is>
          <t>Vínculo</t>
        </is>
      </c>
      <c r="G4" s="46" t="inlineStr">
        <is>
          <t>Plano de Contas</t>
        </is>
      </c>
      <c r="H4" s="46" t="inlineStr">
        <is>
          <t>Jan/26</t>
        </is>
      </c>
      <c r="I4" s="46" t="inlineStr">
        <is>
          <t>Fev/26</t>
        </is>
      </c>
      <c r="J4" s="46" t="inlineStr">
        <is>
          <t>Mar/26</t>
        </is>
      </c>
      <c r="K4" s="46" t="inlineStr">
        <is>
          <t>Abr/26</t>
        </is>
      </c>
      <c r="L4" s="46" t="inlineStr">
        <is>
          <t>Mai/26</t>
        </is>
      </c>
      <c r="M4" s="46" t="inlineStr">
        <is>
          <t>Jun/26</t>
        </is>
      </c>
      <c r="N4" s="46" t="inlineStr">
        <is>
          <t>Jul/26</t>
        </is>
      </c>
      <c r="O4" s="46" t="inlineStr">
        <is>
          <t>Ago/26</t>
        </is>
      </c>
      <c r="P4" s="46" t="inlineStr">
        <is>
          <t>Set/26</t>
        </is>
      </c>
      <c r="Q4" s="46" t="inlineStr">
        <is>
          <t>Out/26</t>
        </is>
      </c>
      <c r="R4" s="46" t="inlineStr">
        <is>
          <t>Nov/26</t>
        </is>
      </c>
      <c r="S4" s="46" t="inlineStr">
        <is>
          <t>Dez/26</t>
        </is>
      </c>
      <c r="T4" s="46" t="inlineStr">
        <is>
          <t>TOTAL REALIZADO</t>
        </is>
      </c>
      <c r="U4" s="46" t="inlineStr">
        <is>
          <t>Fonte do dado</t>
        </is>
      </c>
      <c r="V4" s="46" t="inlineStr">
        <is>
          <t>Observações do mês</t>
        </is>
      </c>
    </row>
    <row r="5" ht="26" customHeight="1">
      <c r="A5" s="47">
        <f>Planejado!A5</f>
        <v/>
      </c>
      <c r="B5" s="47">
        <f>Planejado!B5</f>
        <v/>
      </c>
      <c r="C5" s="47">
        <f>Planejado!C5</f>
        <v/>
      </c>
      <c r="D5" s="48">
        <f>Planejado!D5</f>
        <v/>
      </c>
      <c r="E5" s="48">
        <f>Planejado!E5</f>
        <v/>
      </c>
      <c r="F5" s="47">
        <f>Planejado!F5</f>
        <v/>
      </c>
      <c r="G5" s="47">
        <f>Planejado!G5</f>
        <v/>
      </c>
      <c r="H5" s="49" t="n"/>
      <c r="I5" s="49" t="n"/>
      <c r="J5" s="49" t="n"/>
      <c r="K5" s="49" t="n"/>
      <c r="L5" s="49" t="n"/>
      <c r="M5" s="49" t="n"/>
      <c r="N5" s="49" t="n"/>
      <c r="O5" s="49" t="n"/>
      <c r="P5" s="49" t="n"/>
      <c r="Q5" s="49" t="n"/>
      <c r="R5" s="49" t="n"/>
      <c r="S5" s="49" t="n"/>
      <c r="T5" s="45">
        <f>SUM(H5:S5)</f>
        <v/>
      </c>
      <c r="U5" s="50" t="n"/>
      <c r="V5" s="50" t="inlineStr">
        <is>
          <t>PREENCHER com o CUSTO TOTAL. Bruto: R$ 2.570,52/mês até jul e R$ 3.070,52 de ago — faltam encargos e benefícios</t>
        </is>
      </c>
    </row>
    <row r="6" ht="26" customHeight="1">
      <c r="A6" s="47">
        <f>Planejado!A6</f>
        <v/>
      </c>
      <c r="B6" s="47">
        <f>Planejado!B6</f>
        <v/>
      </c>
      <c r="C6" s="47">
        <f>Planejado!C6</f>
        <v/>
      </c>
      <c r="D6" s="48">
        <f>Planejado!D6</f>
        <v/>
      </c>
      <c r="E6" s="48">
        <f>Planejado!E6</f>
        <v/>
      </c>
      <c r="F6" s="47">
        <f>Planejado!F6</f>
        <v/>
      </c>
      <c r="G6" s="47">
        <f>Planejado!G6</f>
        <v/>
      </c>
      <c r="H6" s="49" t="n">
        <v>0</v>
      </c>
      <c r="I6" s="49" t="n">
        <v>0</v>
      </c>
      <c r="J6" s="49" t="n">
        <v>0</v>
      </c>
      <c r="K6" s="49" t="n">
        <v>0</v>
      </c>
      <c r="L6" s="49" t="n">
        <v>0</v>
      </c>
      <c r="M6" s="49" t="n">
        <v>0</v>
      </c>
      <c r="N6" s="49" t="n"/>
      <c r="O6" s="49" t="n"/>
      <c r="P6" s="49" t="n"/>
      <c r="Q6" s="49" t="n"/>
      <c r="R6" s="49" t="n"/>
      <c r="S6" s="49" t="n"/>
      <c r="T6" s="45">
        <f>SUM(H6:S6)</f>
        <v/>
      </c>
      <c r="U6" s="50" t="inlineStr">
        <is>
          <t>Gestora, 05/08/26 — competência</t>
        </is>
      </c>
      <c r="V6" s="50" t="inlineStr">
        <is>
          <t>Sem acionamento no período — confirmar se o contrato segue ativo</t>
        </is>
      </c>
    </row>
    <row r="7" ht="26" customHeight="1">
      <c r="A7" s="47">
        <f>Planejado!A7</f>
        <v/>
      </c>
      <c r="B7" s="47">
        <f>Planejado!B7</f>
        <v/>
      </c>
      <c r="C7" s="47">
        <f>Planejado!C7</f>
        <v/>
      </c>
      <c r="D7" s="48">
        <f>Planejado!D7</f>
        <v/>
      </c>
      <c r="E7" s="48">
        <f>Planejado!E7</f>
        <v/>
      </c>
      <c r="F7" s="47">
        <f>Planejado!F7</f>
        <v/>
      </c>
      <c r="G7" s="47">
        <f>Planejado!G7</f>
        <v/>
      </c>
      <c r="H7" s="49" t="n">
        <v>0</v>
      </c>
      <c r="I7" s="49" t="n">
        <v>0</v>
      </c>
      <c r="J7" s="49" t="n">
        <v>0</v>
      </c>
      <c r="K7" s="49" t="n">
        <v>3723.62</v>
      </c>
      <c r="L7" s="49" t="n">
        <v>6173.37</v>
      </c>
      <c r="M7" s="49" t="n">
        <v>6300</v>
      </c>
      <c r="N7" s="49" t="n"/>
      <c r="O7" s="49" t="n"/>
      <c r="P7" s="49" t="n"/>
      <c r="Q7" s="49" t="n"/>
      <c r="R7" s="49" t="n"/>
      <c r="S7" s="49" t="n"/>
      <c r="T7" s="45">
        <f>SUM(H7:S7)</f>
        <v/>
      </c>
      <c r="U7" s="50" t="inlineStr">
        <is>
          <t>Extrato do financeiro</t>
        </is>
      </c>
      <c r="V7" s="50" t="inlineStr">
        <is>
          <t>Serviço de abr, mai e jun (pagos em 01/05, 01/06 e 01/07). Zero em jan–mar: contratação segurada — bate com a entrada em abr</t>
        </is>
      </c>
    </row>
    <row r="8" ht="26" customHeight="1">
      <c r="A8" s="47">
        <f>Planejado!A8</f>
        <v/>
      </c>
      <c r="B8" s="47">
        <f>Planejado!B8</f>
        <v/>
      </c>
      <c r="C8" s="47">
        <f>Planejado!C8</f>
        <v/>
      </c>
      <c r="D8" s="48">
        <f>Planejado!D8</f>
        <v/>
      </c>
      <c r="E8" s="48">
        <f>Planejado!E8</f>
        <v/>
      </c>
      <c r="F8" s="47">
        <f>Planejado!F8</f>
        <v/>
      </c>
      <c r="G8" s="47">
        <f>Planejado!G8</f>
        <v/>
      </c>
      <c r="H8" s="49" t="n">
        <v>0</v>
      </c>
      <c r="I8" s="49" t="n">
        <v>0</v>
      </c>
      <c r="J8" s="49" t="n">
        <v>0</v>
      </c>
      <c r="K8" s="49" t="n">
        <v>0</v>
      </c>
      <c r="L8" s="49" t="n">
        <v>0</v>
      </c>
      <c r="M8" s="49" t="n">
        <v>0</v>
      </c>
      <c r="N8" s="49" t="n">
        <v>0</v>
      </c>
      <c r="O8" s="49" t="n">
        <v>0</v>
      </c>
      <c r="P8" s="49" t="n">
        <v>0</v>
      </c>
      <c r="Q8" s="49" t="n">
        <v>0</v>
      </c>
      <c r="R8" s="49" t="n">
        <v>0</v>
      </c>
      <c r="S8" s="49" t="n">
        <v>0</v>
      </c>
      <c r="T8" s="45">
        <f>SUM(H8:S8)</f>
        <v/>
      </c>
      <c r="U8" s="50" t="inlineStr">
        <is>
          <t>Extrato do financeiro</t>
        </is>
      </c>
      <c r="V8" s="50" t="inlineStr">
        <is>
          <t>Zero no exercício: o pagamento de R$ 4.311,56 em 19/01 (NFS.70) era serviço de dez/25 e, por competência, não pertence a 2026. Vínculo encerrado com a entrada como consultor fixo</t>
        </is>
      </c>
    </row>
    <row r="9" ht="26" customHeight="1">
      <c r="A9" s="47">
        <f>Planejado!A9</f>
        <v/>
      </c>
      <c r="B9" s="47">
        <f>Planejado!B9</f>
        <v/>
      </c>
      <c r="C9" s="47">
        <f>Planejado!C9</f>
        <v/>
      </c>
      <c r="D9" s="48">
        <f>Planejado!D9</f>
        <v/>
      </c>
      <c r="E9" s="48">
        <f>Planejado!E9</f>
        <v/>
      </c>
      <c r="F9" s="47">
        <f>Planejado!F9</f>
        <v/>
      </c>
      <c r="G9" s="47">
        <f>Planejado!G9</f>
        <v/>
      </c>
      <c r="H9" s="49" t="n"/>
      <c r="I9" s="49" t="n"/>
      <c r="J9" s="49" t="n"/>
      <c r="K9" s="49" t="n"/>
      <c r="L9" s="49" t="n"/>
      <c r="M9" s="49" t="n"/>
      <c r="N9" s="49" t="n"/>
      <c r="O9" s="49" t="n"/>
      <c r="P9" s="49" t="n"/>
      <c r="Q9" s="49" t="n"/>
      <c r="R9" s="49" t="n"/>
      <c r="S9" s="49" t="n"/>
      <c r="T9" s="45">
        <f>SUM(H9:S9)</f>
        <v/>
      </c>
      <c r="U9" s="50" t="n"/>
      <c r="V9" s="50" t="n"/>
    </row>
    <row r="10" ht="26" customHeight="1">
      <c r="A10" s="47">
        <f>Planejado!A10</f>
        <v/>
      </c>
      <c r="B10" s="47">
        <f>Planejado!B10</f>
        <v/>
      </c>
      <c r="C10" s="47">
        <f>Planejado!C10</f>
        <v/>
      </c>
      <c r="D10" s="48">
        <f>Planejado!D10</f>
        <v/>
      </c>
      <c r="E10" s="48">
        <f>Planejado!E10</f>
        <v/>
      </c>
      <c r="F10" s="47">
        <f>Planejado!F10</f>
        <v/>
      </c>
      <c r="G10" s="47">
        <f>Planejado!G10</f>
        <v/>
      </c>
      <c r="H10" s="49" t="n"/>
      <c r="I10" s="49" t="n"/>
      <c r="J10" s="49" t="n"/>
      <c r="K10" s="49" t="n"/>
      <c r="L10" s="49" t="n"/>
      <c r="M10" s="49" t="n"/>
      <c r="N10" s="49" t="n"/>
      <c r="O10" s="49" t="n"/>
      <c r="P10" s="49" t="n"/>
      <c r="Q10" s="49" t="n"/>
      <c r="R10" s="49" t="n"/>
      <c r="S10" s="49" t="n"/>
      <c r="T10" s="45">
        <f>SUM(H10:S10)</f>
        <v/>
      </c>
      <c r="U10" s="50" t="n"/>
      <c r="V10" s="50" t="n"/>
    </row>
    <row r="11" ht="26" customHeight="1">
      <c r="A11" s="47">
        <f>Planejado!A11</f>
        <v/>
      </c>
      <c r="B11" s="47">
        <f>Planejado!B11</f>
        <v/>
      </c>
      <c r="C11" s="47">
        <f>Planejado!C11</f>
        <v/>
      </c>
      <c r="D11" s="48">
        <f>Planejado!D11</f>
        <v/>
      </c>
      <c r="E11" s="48">
        <f>Planejado!E11</f>
        <v/>
      </c>
      <c r="F11" s="47">
        <f>Planejado!F11</f>
        <v/>
      </c>
      <c r="G11" s="47">
        <f>Planejado!G11</f>
        <v/>
      </c>
      <c r="H11" s="49" t="n"/>
      <c r="I11" s="49" t="n"/>
      <c r="J11" s="49" t="n"/>
      <c r="K11" s="49" t="n"/>
      <c r="L11" s="49" t="n"/>
      <c r="M11" s="49" t="n"/>
      <c r="N11" s="49" t="n"/>
      <c r="O11" s="49" t="n"/>
      <c r="P11" s="49" t="n"/>
      <c r="Q11" s="49" t="n"/>
      <c r="R11" s="49" t="n"/>
      <c r="S11" s="49" t="n"/>
      <c r="T11" s="45">
        <f>SUM(H11:S11)</f>
        <v/>
      </c>
      <c r="U11" s="50" t="n"/>
      <c r="V11" s="50" t="n"/>
    </row>
    <row r="12" ht="26" customHeight="1">
      <c r="A12" s="47">
        <f>Planejado!A12</f>
        <v/>
      </c>
      <c r="B12" s="47">
        <f>Planejado!B12</f>
        <v/>
      </c>
      <c r="C12" s="47">
        <f>Planejado!C12</f>
        <v/>
      </c>
      <c r="D12" s="48">
        <f>Planejado!D12</f>
        <v/>
      </c>
      <c r="E12" s="48">
        <f>Planejado!E12</f>
        <v/>
      </c>
      <c r="F12" s="47">
        <f>Planejado!F12</f>
        <v/>
      </c>
      <c r="G12" s="47">
        <f>Planejado!G12</f>
        <v/>
      </c>
      <c r="H12" s="49" t="n"/>
      <c r="I12" s="49" t="n"/>
      <c r="J12" s="49" t="n"/>
      <c r="K12" s="49" t="n"/>
      <c r="L12" s="49" t="n"/>
      <c r="M12" s="49" t="n"/>
      <c r="N12" s="49" t="n"/>
      <c r="O12" s="49" t="n"/>
      <c r="P12" s="49" t="n"/>
      <c r="Q12" s="49" t="n"/>
      <c r="R12" s="49" t="n"/>
      <c r="S12" s="49" t="n"/>
      <c r="T12" s="45">
        <f>SUM(H12:S12)</f>
        <v/>
      </c>
      <c r="U12" s="50" t="n"/>
      <c r="V12" s="50" t="n"/>
    </row>
    <row r="13" ht="26" customHeight="1">
      <c r="A13" s="47">
        <f>Planejado!A13</f>
        <v/>
      </c>
      <c r="B13" s="47">
        <f>Planejado!B13</f>
        <v/>
      </c>
      <c r="C13" s="47">
        <f>Planejado!C13</f>
        <v/>
      </c>
      <c r="D13" s="48">
        <f>Planejado!D13</f>
        <v/>
      </c>
      <c r="E13" s="48">
        <f>Planejado!E13</f>
        <v/>
      </c>
      <c r="F13" s="47">
        <f>Planejado!F13</f>
        <v/>
      </c>
      <c r="G13" s="47">
        <f>Planejado!G13</f>
        <v/>
      </c>
      <c r="H13" s="49" t="n"/>
      <c r="I13" s="49" t="n"/>
      <c r="J13" s="49" t="n"/>
      <c r="K13" s="49" t="n"/>
      <c r="L13" s="49" t="n"/>
      <c r="M13" s="49" t="n"/>
      <c r="N13" s="49" t="n"/>
      <c r="O13" s="49" t="n"/>
      <c r="P13" s="49" t="n"/>
      <c r="Q13" s="49" t="n"/>
      <c r="R13" s="49" t="n"/>
      <c r="S13" s="49" t="n"/>
      <c r="T13" s="45">
        <f>SUM(H13:S13)</f>
        <v/>
      </c>
      <c r="U13" s="50" t="n"/>
      <c r="V13" s="50" t="n"/>
    </row>
    <row r="14" ht="26" customHeight="1">
      <c r="A14" s="47">
        <f>Planejado!A14</f>
        <v/>
      </c>
      <c r="B14" s="47">
        <f>Planejado!B14</f>
        <v/>
      </c>
      <c r="C14" s="47">
        <f>Planejado!C14</f>
        <v/>
      </c>
      <c r="D14" s="48">
        <f>Planejado!D14</f>
        <v/>
      </c>
      <c r="E14" s="48">
        <f>Planejado!E14</f>
        <v/>
      </c>
      <c r="F14" s="47">
        <f>Planejado!F14</f>
        <v/>
      </c>
      <c r="G14" s="47">
        <f>Planejado!G14</f>
        <v/>
      </c>
      <c r="H14" s="49" t="n"/>
      <c r="I14" s="49" t="n"/>
      <c r="J14" s="49" t="n"/>
      <c r="K14" s="49" t="n"/>
      <c r="L14" s="49" t="n"/>
      <c r="M14" s="49" t="n"/>
      <c r="N14" s="49" t="n"/>
      <c r="O14" s="49" t="n"/>
      <c r="P14" s="49" t="n"/>
      <c r="Q14" s="49" t="n"/>
      <c r="R14" s="49" t="n"/>
      <c r="S14" s="49" t="n"/>
      <c r="T14" s="45">
        <f>SUM(H14:S14)</f>
        <v/>
      </c>
      <c r="U14" s="50" t="n"/>
      <c r="V14" s="50" t="n"/>
    </row>
    <row r="15" ht="26" customHeight="1">
      <c r="A15" s="47">
        <f>Planejado!A15</f>
        <v/>
      </c>
      <c r="B15" s="47">
        <f>Planejado!B15</f>
        <v/>
      </c>
      <c r="C15" s="47">
        <f>Planejado!C15</f>
        <v/>
      </c>
      <c r="D15" s="48">
        <f>Planejado!D15</f>
        <v/>
      </c>
      <c r="E15" s="48">
        <f>Planejado!E15</f>
        <v/>
      </c>
      <c r="F15" s="47">
        <f>Planejado!F15</f>
        <v/>
      </c>
      <c r="G15" s="47">
        <f>Planejado!G15</f>
        <v/>
      </c>
      <c r="H15" s="49" t="n"/>
      <c r="I15" s="49" t="n"/>
      <c r="J15" s="49" t="n"/>
      <c r="K15" s="49" t="n"/>
      <c r="L15" s="49" t="n"/>
      <c r="M15" s="49" t="n"/>
      <c r="N15" s="49" t="n"/>
      <c r="O15" s="49" t="n"/>
      <c r="P15" s="49" t="n"/>
      <c r="Q15" s="49" t="n"/>
      <c r="R15" s="49" t="n"/>
      <c r="S15" s="49" t="n"/>
      <c r="T15" s="45">
        <f>SUM(H15:S15)</f>
        <v/>
      </c>
      <c r="U15" s="50" t="n"/>
      <c r="V15" s="50" t="n"/>
    </row>
    <row r="16" ht="26" customHeight="1">
      <c r="A16" s="47">
        <f>Planejado!A16</f>
        <v/>
      </c>
      <c r="B16" s="47">
        <f>Planejado!B16</f>
        <v/>
      </c>
      <c r="C16" s="47">
        <f>Planejado!C16</f>
        <v/>
      </c>
      <c r="D16" s="48">
        <f>Planejado!D16</f>
        <v/>
      </c>
      <c r="E16" s="48">
        <f>Planejado!E16</f>
        <v/>
      </c>
      <c r="F16" s="47">
        <f>Planejado!F16</f>
        <v/>
      </c>
      <c r="G16" s="47">
        <f>Planejado!G16</f>
        <v/>
      </c>
      <c r="H16" s="49" t="n"/>
      <c r="I16" s="49" t="n"/>
      <c r="J16" s="49" t="n"/>
      <c r="K16" s="49" t="n"/>
      <c r="L16" s="49" t="n"/>
      <c r="M16" s="49" t="n"/>
      <c r="N16" s="49" t="n"/>
      <c r="O16" s="49" t="n"/>
      <c r="P16" s="49" t="n"/>
      <c r="Q16" s="49" t="n"/>
      <c r="R16" s="49" t="n"/>
      <c r="S16" s="49" t="n"/>
      <c r="T16" s="45">
        <f>SUM(H16:S16)</f>
        <v/>
      </c>
      <c r="U16" s="50" t="n"/>
      <c r="V16" s="50" t="n"/>
    </row>
    <row r="17" ht="26" customHeight="1">
      <c r="A17" s="47">
        <f>Planejado!A17</f>
        <v/>
      </c>
      <c r="B17" s="47">
        <f>Planejado!B17</f>
        <v/>
      </c>
      <c r="C17" s="47">
        <f>Planejado!C17</f>
        <v/>
      </c>
      <c r="D17" s="48">
        <f>Planejado!D17</f>
        <v/>
      </c>
      <c r="E17" s="48">
        <f>Planejado!E17</f>
        <v/>
      </c>
      <c r="F17" s="47">
        <f>Planejado!F17</f>
        <v/>
      </c>
      <c r="G17" s="47">
        <f>Planejado!G17</f>
        <v/>
      </c>
      <c r="H17" s="49" t="n"/>
      <c r="I17" s="49" t="n"/>
      <c r="J17" s="49" t="n"/>
      <c r="K17" s="49" t="n"/>
      <c r="L17" s="49" t="n"/>
      <c r="M17" s="49" t="n"/>
      <c r="N17" s="49" t="n"/>
      <c r="O17" s="49" t="n"/>
      <c r="P17" s="49" t="n"/>
      <c r="Q17" s="49" t="n"/>
      <c r="R17" s="49" t="n"/>
      <c r="S17" s="49" t="n"/>
      <c r="T17" s="45">
        <f>SUM(H17:S17)</f>
        <v/>
      </c>
      <c r="U17" s="50" t="n"/>
      <c r="V17" s="50" t="n"/>
    </row>
    <row r="18" ht="26" customHeight="1">
      <c r="A18" s="47">
        <f>Planejado!A18</f>
        <v/>
      </c>
      <c r="B18" s="47">
        <f>Planejado!B18</f>
        <v/>
      </c>
      <c r="C18" s="47">
        <f>Planejado!C18</f>
        <v/>
      </c>
      <c r="D18" s="48">
        <f>Planejado!D18</f>
        <v/>
      </c>
      <c r="E18" s="48">
        <f>Planejado!E18</f>
        <v/>
      </c>
      <c r="F18" s="47">
        <f>Planejado!F18</f>
        <v/>
      </c>
      <c r="G18" s="47">
        <f>Planejado!G18</f>
        <v/>
      </c>
      <c r="H18" s="49" t="n"/>
      <c r="I18" s="49" t="n"/>
      <c r="J18" s="49" t="n"/>
      <c r="K18" s="49" t="n"/>
      <c r="L18" s="49" t="n"/>
      <c r="M18" s="49" t="n"/>
      <c r="N18" s="49" t="n"/>
      <c r="O18" s="49" t="n"/>
      <c r="P18" s="49" t="n"/>
      <c r="Q18" s="49" t="n"/>
      <c r="R18" s="49" t="n"/>
      <c r="S18" s="49" t="n"/>
      <c r="T18" s="45">
        <f>SUM(H18:S18)</f>
        <v/>
      </c>
      <c r="U18" s="50" t="n"/>
      <c r="V18" s="50" t="n"/>
    </row>
    <row r="19" ht="26" customHeight="1">
      <c r="A19" s="47">
        <f>Planejado!A19</f>
        <v/>
      </c>
      <c r="B19" s="47">
        <f>Planejado!B19</f>
        <v/>
      </c>
      <c r="C19" s="47">
        <f>Planejado!C19</f>
        <v/>
      </c>
      <c r="D19" s="48">
        <f>Planejado!D19</f>
        <v/>
      </c>
      <c r="E19" s="48">
        <f>Planejado!E19</f>
        <v/>
      </c>
      <c r="F19" s="47">
        <f>Planejado!F19</f>
        <v/>
      </c>
      <c r="G19" s="47">
        <f>Planejado!G19</f>
        <v/>
      </c>
      <c r="H19" s="49" t="n"/>
      <c r="I19" s="49" t="n"/>
      <c r="J19" s="49" t="n"/>
      <c r="K19" s="49" t="n"/>
      <c r="L19" s="49" t="n"/>
      <c r="M19" s="49" t="n"/>
      <c r="N19" s="49" t="n"/>
      <c r="O19" s="49" t="n"/>
      <c r="P19" s="49" t="n"/>
      <c r="Q19" s="49" t="n"/>
      <c r="R19" s="49" t="n"/>
      <c r="S19" s="49" t="n"/>
      <c r="T19" s="45">
        <f>SUM(H19:S19)</f>
        <v/>
      </c>
      <c r="U19" s="50" t="n"/>
      <c r="V19" s="50" t="n"/>
    </row>
    <row r="20" ht="26" customHeight="1">
      <c r="A20" s="47">
        <f>Planejado!A20</f>
        <v/>
      </c>
      <c r="B20" s="47">
        <f>Planejado!B20</f>
        <v/>
      </c>
      <c r="C20" s="47">
        <f>Planejado!C20</f>
        <v/>
      </c>
      <c r="D20" s="48">
        <f>Planejado!D20</f>
        <v/>
      </c>
      <c r="E20" s="48">
        <f>Planejado!E20</f>
        <v/>
      </c>
      <c r="F20" s="47">
        <f>Planejado!F20</f>
        <v/>
      </c>
      <c r="G20" s="47">
        <f>Planejado!G20</f>
        <v/>
      </c>
      <c r="H20" s="49" t="n"/>
      <c r="I20" s="49" t="n"/>
      <c r="J20" s="49" t="n"/>
      <c r="K20" s="49" t="n"/>
      <c r="L20" s="49" t="n"/>
      <c r="M20" s="49" t="n"/>
      <c r="N20" s="49" t="n"/>
      <c r="O20" s="49" t="n"/>
      <c r="P20" s="49" t="n"/>
      <c r="Q20" s="49" t="n"/>
      <c r="R20" s="49" t="n"/>
      <c r="S20" s="49" t="n"/>
      <c r="T20" s="45">
        <f>SUM(H20:S20)</f>
        <v/>
      </c>
      <c r="U20" s="50" t="n"/>
      <c r="V20" s="50" t="n"/>
    </row>
    <row r="21" ht="26" customHeight="1">
      <c r="A21" s="47">
        <f>Planejado!A21</f>
        <v/>
      </c>
      <c r="B21" s="47">
        <f>Planejado!B21</f>
        <v/>
      </c>
      <c r="C21" s="47">
        <f>Planejado!C21</f>
        <v/>
      </c>
      <c r="D21" s="48">
        <f>Planejado!D21</f>
        <v/>
      </c>
      <c r="E21" s="48">
        <f>Planejado!E21</f>
        <v/>
      </c>
      <c r="F21" s="47">
        <f>Planejado!F21</f>
        <v/>
      </c>
      <c r="G21" s="47">
        <f>Planejado!G21</f>
        <v/>
      </c>
      <c r="H21" s="49" t="n">
        <v>0</v>
      </c>
      <c r="I21" s="49" t="n">
        <v>0</v>
      </c>
      <c r="J21" s="49" t="n">
        <v>0</v>
      </c>
      <c r="K21" s="49" t="n">
        <v>0</v>
      </c>
      <c r="L21" s="49" t="n">
        <v>0</v>
      </c>
      <c r="M21" s="49" t="n">
        <v>0</v>
      </c>
      <c r="N21" s="49" t="n"/>
      <c r="O21" s="49" t="n"/>
      <c r="P21" s="49" t="n"/>
      <c r="Q21" s="49" t="n"/>
      <c r="R21" s="49" t="n"/>
      <c r="S21" s="49" t="n"/>
      <c r="T21" s="45">
        <f>SUM(H21:S21)</f>
        <v/>
      </c>
      <c r="U21" s="50" t="inlineStr">
        <is>
          <t>Gestora, 05/08/26 — competência</t>
        </is>
      </c>
      <c r="V21" s="50" t="inlineStr">
        <is>
          <t>Ainda não contratado — sem custo até jul/26</t>
        </is>
      </c>
    </row>
    <row r="22" ht="26" customHeight="1">
      <c r="A22" s="47">
        <f>Planejado!A22</f>
        <v/>
      </c>
      <c r="B22" s="47">
        <f>Planejado!B22</f>
        <v/>
      </c>
      <c r="C22" s="47">
        <f>Planejado!C22</f>
        <v/>
      </c>
      <c r="D22" s="48">
        <f>Planejado!D22</f>
        <v/>
      </c>
      <c r="E22" s="48">
        <f>Planejado!E22</f>
        <v/>
      </c>
      <c r="F22" s="47">
        <f>Planejado!F22</f>
        <v/>
      </c>
      <c r="G22" s="47">
        <f>Planejado!G22</f>
        <v/>
      </c>
      <c r="H22" s="49" t="n"/>
      <c r="I22" s="49" t="n"/>
      <c r="J22" s="49" t="n"/>
      <c r="K22" s="49" t="n"/>
      <c r="L22" s="49" t="n"/>
      <c r="M22" s="49" t="n"/>
      <c r="N22" s="49" t="n"/>
      <c r="O22" s="49" t="n"/>
      <c r="P22" s="49" t="n"/>
      <c r="Q22" s="49" t="n"/>
      <c r="R22" s="49" t="n"/>
      <c r="S22" s="49" t="n"/>
      <c r="T22" s="45">
        <f>SUM(H22:S22)</f>
        <v/>
      </c>
      <c r="U22" s="50" t="n"/>
      <c r="V22" s="50" t="n"/>
    </row>
    <row r="23">
      <c r="A23" s="51" t="inlineStr">
        <is>
          <t>TOTAL GERAL</t>
        </is>
      </c>
      <c r="B23" s="51" t="n"/>
      <c r="C23" s="51" t="n"/>
      <c r="D23" s="51" t="n"/>
      <c r="E23" s="51" t="n"/>
      <c r="F23" s="51" t="n"/>
      <c r="G23" s="51" t="n"/>
      <c r="H23" s="52">
        <f>SUM(H5:H22)</f>
        <v/>
      </c>
      <c r="I23" s="52">
        <f>SUM(I5:I22)</f>
        <v/>
      </c>
      <c r="J23" s="52">
        <f>SUM(J5:J22)</f>
        <v/>
      </c>
      <c r="K23" s="52">
        <f>SUM(K5:K22)</f>
        <v/>
      </c>
      <c r="L23" s="52">
        <f>SUM(L5:L22)</f>
        <v/>
      </c>
      <c r="M23" s="52">
        <f>SUM(M5:M22)</f>
        <v/>
      </c>
      <c r="N23" s="52">
        <f>SUM(N5:N22)</f>
        <v/>
      </c>
      <c r="O23" s="52">
        <f>SUM(O5:O22)</f>
        <v/>
      </c>
      <c r="P23" s="52">
        <f>SUM(P5:P22)</f>
        <v/>
      </c>
      <c r="Q23" s="52">
        <f>SUM(Q5:Q22)</f>
        <v/>
      </c>
      <c r="R23" s="52">
        <f>SUM(R5:R22)</f>
        <v/>
      </c>
      <c r="S23" s="52">
        <f>SUM(S5:S22)</f>
        <v/>
      </c>
      <c r="T23" s="52">
        <f>SUM(T5:T22)</f>
        <v/>
      </c>
      <c r="U23" s="51" t="n"/>
      <c r="V23" s="51"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6" t="inlineStr">
        <is>
          <t>Mês</t>
        </is>
      </c>
      <c r="B4" s="6" t="inlineStr">
        <is>
          <t>TI Plan.</t>
        </is>
      </c>
      <c r="C4" s="6" t="inlineStr">
        <is>
          <t>TI Real.</t>
        </is>
      </c>
      <c r="D4" s="6" t="inlineStr">
        <is>
          <t>Total Plan.</t>
        </is>
      </c>
      <c r="E4" s="6" t="inlineStr">
        <is>
          <t>Total Real.</t>
        </is>
      </c>
      <c r="F4" s="6" t="inlineStr">
        <is>
          <t>Desvio do mês (R$)</t>
        </is>
      </c>
      <c r="G4" s="6" t="inlineStr">
        <is>
          <t>Planejado acum.</t>
        </is>
      </c>
      <c r="H4" s="6" t="inlineStr">
        <is>
          <t>Realizado acum.</t>
        </is>
      </c>
    </row>
    <row r="5" ht="20" customHeight="1">
      <c r="A5" s="53" t="inlineStr">
        <is>
          <t>Jan/26</t>
        </is>
      </c>
      <c r="B5" s="54">
        <f>SUMIFS(Planejado!$H$5:$H$22,Planejado!$B$5:$B$22,"TI")</f>
        <v/>
      </c>
      <c r="C5" s="54">
        <f>SUMIFS(Realizado!$H$5:$H$22,Realizado!$B$5:$B$22,"TI")</f>
        <v/>
      </c>
      <c r="D5" s="54">
        <f>B5</f>
        <v/>
      </c>
      <c r="E5" s="54">
        <f>C5</f>
        <v/>
      </c>
      <c r="F5" s="54">
        <f>E5-D5</f>
        <v/>
      </c>
      <c r="G5" s="54">
        <f>SUM($D$5:D5)</f>
        <v/>
      </c>
      <c r="H5" s="54">
        <f>SUM($E$5:E5)</f>
        <v/>
      </c>
    </row>
    <row r="6" ht="20" customHeight="1">
      <c r="A6" s="55" t="inlineStr">
        <is>
          <t>Fev/26</t>
        </is>
      </c>
      <c r="B6" s="37">
        <f>SUMIFS(Planejado!$I$5:$I$22,Planejado!$B$5:$B$22,"TI")</f>
        <v/>
      </c>
      <c r="C6" s="37">
        <f>SUMIFS(Realizado!$I$5:$I$22,Realizado!$B$5:$B$22,"TI")</f>
        <v/>
      </c>
      <c r="D6" s="37">
        <f>B6</f>
        <v/>
      </c>
      <c r="E6" s="37">
        <f>C6</f>
        <v/>
      </c>
      <c r="F6" s="37">
        <f>E6-D6</f>
        <v/>
      </c>
      <c r="G6" s="37">
        <f>SUM($D$5:D6)</f>
        <v/>
      </c>
      <c r="H6" s="37">
        <f>SUM($E$5:E6)</f>
        <v/>
      </c>
    </row>
    <row r="7" ht="20" customHeight="1">
      <c r="A7" s="53" t="inlineStr">
        <is>
          <t>Mar/26</t>
        </is>
      </c>
      <c r="B7" s="54">
        <f>SUMIFS(Planejado!$J$5:$J$22,Planejado!$B$5:$B$22,"TI")</f>
        <v/>
      </c>
      <c r="C7" s="54">
        <f>SUMIFS(Realizado!$J$5:$J$22,Realizado!$B$5:$B$22,"TI")</f>
        <v/>
      </c>
      <c r="D7" s="54">
        <f>B7</f>
        <v/>
      </c>
      <c r="E7" s="54">
        <f>C7</f>
        <v/>
      </c>
      <c r="F7" s="54">
        <f>E7-D7</f>
        <v/>
      </c>
      <c r="G7" s="54">
        <f>SUM($D$5:D7)</f>
        <v/>
      </c>
      <c r="H7" s="54">
        <f>SUM($E$5:E7)</f>
        <v/>
      </c>
    </row>
    <row r="8" ht="20" customHeight="1">
      <c r="A8" s="55" t="inlineStr">
        <is>
          <t>Abr/26</t>
        </is>
      </c>
      <c r="B8" s="37">
        <f>SUMIFS(Planejado!$K$5:$K$22,Planejado!$B$5:$B$22,"TI")</f>
        <v/>
      </c>
      <c r="C8" s="37">
        <f>SUMIFS(Realizado!$K$5:$K$22,Realizado!$B$5:$B$22,"TI")</f>
        <v/>
      </c>
      <c r="D8" s="37">
        <f>B8</f>
        <v/>
      </c>
      <c r="E8" s="37">
        <f>C8</f>
        <v/>
      </c>
      <c r="F8" s="37">
        <f>E8-D8</f>
        <v/>
      </c>
      <c r="G8" s="37">
        <f>SUM($D$5:D8)</f>
        <v/>
      </c>
      <c r="H8" s="37">
        <f>SUM($E$5:E8)</f>
        <v/>
      </c>
    </row>
    <row r="9" ht="20" customHeight="1">
      <c r="A9" s="53" t="inlineStr">
        <is>
          <t>Mai/26</t>
        </is>
      </c>
      <c r="B9" s="54">
        <f>SUMIFS(Planejado!$L$5:$L$22,Planejado!$B$5:$B$22,"TI")</f>
        <v/>
      </c>
      <c r="C9" s="54">
        <f>SUMIFS(Realizado!$L$5:$L$22,Realizado!$B$5:$B$22,"TI")</f>
        <v/>
      </c>
      <c r="D9" s="54">
        <f>B9</f>
        <v/>
      </c>
      <c r="E9" s="54">
        <f>C9</f>
        <v/>
      </c>
      <c r="F9" s="54">
        <f>E9-D9</f>
        <v/>
      </c>
      <c r="G9" s="54">
        <f>SUM($D$5:D9)</f>
        <v/>
      </c>
      <c r="H9" s="54">
        <f>SUM($E$5:E9)</f>
        <v/>
      </c>
    </row>
    <row r="10" ht="20" customHeight="1">
      <c r="A10" s="55" t="inlineStr">
        <is>
          <t>Jun/26</t>
        </is>
      </c>
      <c r="B10" s="37">
        <f>SUMIFS(Planejado!$M$5:$M$22,Planejado!$B$5:$B$22,"TI")</f>
        <v/>
      </c>
      <c r="C10" s="37">
        <f>SUMIFS(Realizado!$M$5:$M$22,Realizado!$B$5:$B$22,"TI")</f>
        <v/>
      </c>
      <c r="D10" s="37">
        <f>B10</f>
        <v/>
      </c>
      <c r="E10" s="37">
        <f>C10</f>
        <v/>
      </c>
      <c r="F10" s="37">
        <f>E10-D10</f>
        <v/>
      </c>
      <c r="G10" s="37">
        <f>SUM($D$5:D10)</f>
        <v/>
      </c>
      <c r="H10" s="37">
        <f>SUM($E$5:E10)</f>
        <v/>
      </c>
    </row>
    <row r="11" ht="20" customHeight="1">
      <c r="A11" s="53" t="inlineStr">
        <is>
          <t>Jul/26</t>
        </is>
      </c>
      <c r="B11" s="54">
        <f>SUMIFS(Planejado!$N$5:$N$22,Planejado!$B$5:$B$22,"TI")</f>
        <v/>
      </c>
      <c r="C11" s="54">
        <f>SUMIFS(Realizado!$N$5:$N$22,Realizado!$B$5:$B$22,"TI")</f>
        <v/>
      </c>
      <c r="D11" s="54">
        <f>B11</f>
        <v/>
      </c>
      <c r="E11" s="54">
        <f>C11</f>
        <v/>
      </c>
      <c r="F11" s="54">
        <f>E11-D11</f>
        <v/>
      </c>
      <c r="G11" s="54">
        <f>SUM($D$5:D11)</f>
        <v/>
      </c>
      <c r="H11" s="54">
        <f>SUM($E$5:E11)</f>
        <v/>
      </c>
    </row>
    <row r="12" ht="20" customHeight="1">
      <c r="A12" s="55" t="inlineStr">
        <is>
          <t>Ago/26</t>
        </is>
      </c>
      <c r="B12" s="37">
        <f>SUMIFS(Planejado!$O$5:$O$22,Planejado!$B$5:$B$22,"TI")</f>
        <v/>
      </c>
      <c r="C12" s="37">
        <f>SUMIFS(Realizado!$O$5:$O$22,Realizado!$B$5:$B$22,"TI")</f>
        <v/>
      </c>
      <c r="D12" s="37">
        <f>B12</f>
        <v/>
      </c>
      <c r="E12" s="37">
        <f>C12</f>
        <v/>
      </c>
      <c r="F12" s="37">
        <f>E12-D12</f>
        <v/>
      </c>
      <c r="G12" s="37">
        <f>SUM($D$5:D12)</f>
        <v/>
      </c>
      <c r="H12" s="37">
        <f>SUM($E$5:E12)</f>
        <v/>
      </c>
    </row>
    <row r="13" ht="20" customHeight="1">
      <c r="A13" s="53" t="inlineStr">
        <is>
          <t>Set/26</t>
        </is>
      </c>
      <c r="B13" s="54">
        <f>SUMIFS(Planejado!$P$5:$P$22,Planejado!$B$5:$B$22,"TI")</f>
        <v/>
      </c>
      <c r="C13" s="54">
        <f>SUMIFS(Realizado!$P$5:$P$22,Realizado!$B$5:$B$22,"TI")</f>
        <v/>
      </c>
      <c r="D13" s="54">
        <f>B13</f>
        <v/>
      </c>
      <c r="E13" s="54">
        <f>C13</f>
        <v/>
      </c>
      <c r="F13" s="54">
        <f>E13-D13</f>
        <v/>
      </c>
      <c r="G13" s="54">
        <f>SUM($D$5:D13)</f>
        <v/>
      </c>
      <c r="H13" s="54">
        <f>SUM($E$5:E13)</f>
        <v/>
      </c>
    </row>
    <row r="14" ht="20" customHeight="1">
      <c r="A14" s="55" t="inlineStr">
        <is>
          <t>Out/26</t>
        </is>
      </c>
      <c r="B14" s="37">
        <f>SUMIFS(Planejado!$Q$5:$Q$22,Planejado!$B$5:$B$22,"TI")</f>
        <v/>
      </c>
      <c r="C14" s="37">
        <f>SUMIFS(Realizado!$Q$5:$Q$22,Realizado!$B$5:$B$22,"TI")</f>
        <v/>
      </c>
      <c r="D14" s="37">
        <f>B14</f>
        <v/>
      </c>
      <c r="E14" s="37">
        <f>C14</f>
        <v/>
      </c>
      <c r="F14" s="37">
        <f>E14-D14</f>
        <v/>
      </c>
      <c r="G14" s="37">
        <f>SUM($D$5:D14)</f>
        <v/>
      </c>
      <c r="H14" s="37">
        <f>SUM($E$5:E14)</f>
        <v/>
      </c>
    </row>
    <row r="15" ht="20" customHeight="1">
      <c r="A15" s="53" t="inlineStr">
        <is>
          <t>Nov/26</t>
        </is>
      </c>
      <c r="B15" s="54">
        <f>SUMIFS(Planejado!$R$5:$R$22,Planejado!$B$5:$B$22,"TI")</f>
        <v/>
      </c>
      <c r="C15" s="54">
        <f>SUMIFS(Realizado!$R$5:$R$22,Realizado!$B$5:$B$22,"TI")</f>
        <v/>
      </c>
      <c r="D15" s="54">
        <f>B15</f>
        <v/>
      </c>
      <c r="E15" s="54">
        <f>C15</f>
        <v/>
      </c>
      <c r="F15" s="54">
        <f>E15-D15</f>
        <v/>
      </c>
      <c r="G15" s="54">
        <f>SUM($D$5:D15)</f>
        <v/>
      </c>
      <c r="H15" s="54">
        <f>SUM($E$5:E15)</f>
        <v/>
      </c>
    </row>
    <row r="16" ht="20" customHeight="1">
      <c r="A16" s="55" t="inlineStr">
        <is>
          <t>Dez/26</t>
        </is>
      </c>
      <c r="B16" s="37">
        <f>SUMIFS(Planejado!$S$5:$S$22,Planejado!$B$5:$B$22,"TI")</f>
        <v/>
      </c>
      <c r="C16" s="37">
        <f>SUMIFS(Realizado!$S$5:$S$22,Realizado!$B$5:$B$22,"TI")</f>
        <v/>
      </c>
      <c r="D16" s="37">
        <f>B16</f>
        <v/>
      </c>
      <c r="E16" s="37">
        <f>C16</f>
        <v/>
      </c>
      <c r="F16" s="37">
        <f>E16-D16</f>
        <v/>
      </c>
      <c r="G16" s="37">
        <f>SUM($D$5:D16)</f>
        <v/>
      </c>
      <c r="H16" s="37">
        <f>SUM($E$5:E16)</f>
        <v/>
      </c>
    </row>
    <row r="17">
      <c r="A17" s="42" t="inlineStr">
        <is>
          <t>TOTAL</t>
        </is>
      </c>
      <c r="B17" s="43">
        <f>SUM(B5:B16)</f>
        <v/>
      </c>
      <c r="C17" s="43">
        <f>SUM(C5:C16)</f>
        <v/>
      </c>
      <c r="D17" s="43">
        <f>SUM(D5:D16)</f>
        <v/>
      </c>
      <c r="E17" s="43">
        <f>SUM(E5:E16)</f>
        <v/>
      </c>
      <c r="F17" s="43">
        <f>SUM(F5:F16)</f>
        <v/>
      </c>
      <c r="G17" s="42" t="n"/>
      <c r="H17" s="42" t="n"/>
    </row>
  </sheetData>
  <mergeCells count="2">
    <mergeCell ref="A1:J1"/>
    <mergeCell ref="A2:J2"/>
  </mergeCells>
  <conditionalFormatting sqref="F5:F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2" customWidth="1" min="7" max="7"/>
    <col width="18" customWidth="1" min="8" max="8"/>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6" t="inlineStr">
        <is>
          <t>Plano de Contas</t>
        </is>
      </c>
      <c r="B4" s="6" t="inlineStr">
        <is>
          <t>TI — Plan.</t>
        </is>
      </c>
      <c r="C4" s="6" t="inlineStr">
        <is>
          <t>TI — Real.</t>
        </is>
      </c>
      <c r="D4" s="6" t="inlineStr">
        <is>
          <t>Total Planejado acum.</t>
        </is>
      </c>
      <c r="E4" s="6" t="inlineStr">
        <is>
          <t>Total Realizado acum.</t>
        </is>
      </c>
      <c r="F4" s="6" t="inlineStr">
        <is>
          <t>Desvio (R$)</t>
        </is>
      </c>
      <c r="G4" s="6" t="inlineStr">
        <is>
          <t>Desvio (%)</t>
        </is>
      </c>
      <c r="H4" s="6" t="inlineStr">
        <is>
          <t>Orçado do ano</t>
        </is>
      </c>
    </row>
    <row r="5" ht="20" customHeight="1">
      <c r="A5" s="56" t="inlineStr">
        <is>
          <t>Pessoal - CLT</t>
        </is>
      </c>
      <c r="B5" s="54">
        <f>SUMIFS(Comparativo!$I$6:$I$23,Comparativo!$E$6:$E$23,$A5,Comparativo!$B$6:$B$23,"TI")</f>
        <v/>
      </c>
      <c r="C5" s="54">
        <f>SUMIFS(Comparativo!$J$6:$J$23,Comparativo!$E$6:$E$23,$A5,Comparativo!$B$6:$B$23,"TI")</f>
        <v/>
      </c>
      <c r="D5" s="54">
        <f>B5</f>
        <v/>
      </c>
      <c r="E5" s="54">
        <f>C5</f>
        <v/>
      </c>
      <c r="F5" s="54">
        <f>E5-D5</f>
        <v/>
      </c>
      <c r="G5" s="57">
        <f>IFERROR(F5/D5,"")</f>
        <v/>
      </c>
      <c r="H5" s="54">
        <f>SUMIFS(Planejado!$T$5:$T$22,Planejado!$G$5:$G$22,$A5)</f>
        <v/>
      </c>
    </row>
    <row r="6" ht="20" customHeight="1">
      <c r="A6" s="58" t="inlineStr">
        <is>
          <t>Pessoal - PJ</t>
        </is>
      </c>
      <c r="B6" s="37">
        <f>SUMIFS(Comparativo!$I$6:$I$23,Comparativo!$E$6:$E$23,$A6,Comparativo!$B$6:$B$23,"TI")</f>
        <v/>
      </c>
      <c r="C6" s="37">
        <f>SUMIFS(Comparativo!$J$6:$J$23,Comparativo!$E$6:$E$23,$A6,Comparativo!$B$6:$B$23,"TI")</f>
        <v/>
      </c>
      <c r="D6" s="37">
        <f>B6</f>
        <v/>
      </c>
      <c r="E6" s="37">
        <f>C6</f>
        <v/>
      </c>
      <c r="F6" s="37">
        <f>E6-D6</f>
        <v/>
      </c>
      <c r="G6" s="59">
        <f>IFERROR(F6/D6,"")</f>
        <v/>
      </c>
      <c r="H6" s="37">
        <f>SUMIFS(Planejado!$T$5:$T$22,Planejado!$G$5:$G$22,$A6)</f>
        <v/>
      </c>
    </row>
    <row r="7" ht="20" customHeight="1">
      <c r="A7" s="56" t="inlineStr">
        <is>
          <t>Licenças de Softwares</t>
        </is>
      </c>
      <c r="B7" s="54">
        <f>SUMIFS(Comparativo!$I$6:$I$23,Comparativo!$E$6:$E$23,$A7,Comparativo!$B$6:$B$23,"TI")</f>
        <v/>
      </c>
      <c r="C7" s="54">
        <f>SUMIFS(Comparativo!$J$6:$J$23,Comparativo!$E$6:$E$23,$A7,Comparativo!$B$6:$B$23,"TI")</f>
        <v/>
      </c>
      <c r="D7" s="54">
        <f>B7</f>
        <v/>
      </c>
      <c r="E7" s="54">
        <f>C7</f>
        <v/>
      </c>
      <c r="F7" s="54">
        <f>E7-D7</f>
        <v/>
      </c>
      <c r="G7" s="57">
        <f>IFERROR(F7/D7,"")</f>
        <v/>
      </c>
      <c r="H7" s="54">
        <f>SUMIFS(Planejado!$T$5:$T$22,Planejado!$G$5:$G$22,$A7)</f>
        <v/>
      </c>
    </row>
    <row r="8" ht="20" customHeight="1">
      <c r="A8" s="58" t="inlineStr">
        <is>
          <t>Custeio de Treinamento</t>
        </is>
      </c>
      <c r="B8" s="37">
        <f>SUMIFS(Comparativo!$I$6:$I$23,Comparativo!$E$6:$E$23,$A8,Comparativo!$B$6:$B$23,"TI")</f>
        <v/>
      </c>
      <c r="C8" s="37">
        <f>SUMIFS(Comparativo!$J$6:$J$23,Comparativo!$E$6:$E$23,$A8,Comparativo!$B$6:$B$23,"TI")</f>
        <v/>
      </c>
      <c r="D8" s="37">
        <f>B8</f>
        <v/>
      </c>
      <c r="E8" s="37">
        <f>C8</f>
        <v/>
      </c>
      <c r="F8" s="37">
        <f>E8-D8</f>
        <v/>
      </c>
      <c r="G8" s="59">
        <f>IFERROR(F8/D8,"")</f>
        <v/>
      </c>
      <c r="H8" s="37">
        <f>SUMIFS(Planejado!$T$5:$T$22,Planejado!$G$5:$G$22,$A8)</f>
        <v/>
      </c>
    </row>
    <row r="9" ht="20" customHeight="1">
      <c r="A9" s="56" t="inlineStr">
        <is>
          <t>Prêmios</t>
        </is>
      </c>
      <c r="B9" s="54">
        <f>SUMIFS(Comparativo!$I$6:$I$23,Comparativo!$E$6:$E$23,$A9,Comparativo!$B$6:$B$23,"TI")</f>
        <v/>
      </c>
      <c r="C9" s="54">
        <f>SUMIFS(Comparativo!$J$6:$J$23,Comparativo!$E$6:$E$23,$A9,Comparativo!$B$6:$B$23,"TI")</f>
        <v/>
      </c>
      <c r="D9" s="54">
        <f>B9</f>
        <v/>
      </c>
      <c r="E9" s="54">
        <f>C9</f>
        <v/>
      </c>
      <c r="F9" s="54">
        <f>E9-D9</f>
        <v/>
      </c>
      <c r="G9" s="57">
        <f>IFERROR(F9/D9,"")</f>
        <v/>
      </c>
      <c r="H9" s="54">
        <f>SUMIFS(Planejado!$T$5:$T$22,Planejado!$G$5:$G$22,$A9)</f>
        <v/>
      </c>
    </row>
    <row r="10" ht="20" customHeight="1">
      <c r="A10" s="58" t="inlineStr">
        <is>
          <t>Equipamentos Eletrônicos Diversos</t>
        </is>
      </c>
      <c r="B10" s="37">
        <f>SUMIFS(Comparativo!$I$6:$I$23,Comparativo!$E$6:$E$23,$A10,Comparativo!$B$6:$B$23,"TI")</f>
        <v/>
      </c>
      <c r="C10" s="37">
        <f>SUMIFS(Comparativo!$J$6:$J$23,Comparativo!$E$6:$E$23,$A10,Comparativo!$B$6:$B$23,"TI")</f>
        <v/>
      </c>
      <c r="D10" s="37">
        <f>B10</f>
        <v/>
      </c>
      <c r="E10" s="37">
        <f>C10</f>
        <v/>
      </c>
      <c r="F10" s="37">
        <f>E10-D10</f>
        <v/>
      </c>
      <c r="G10" s="59">
        <f>IFERROR(F10/D10,"")</f>
        <v/>
      </c>
      <c r="H10" s="37">
        <f>SUMIFS(Planejado!$T$5:$T$22,Planejado!$G$5:$G$22,$A10)</f>
        <v/>
      </c>
    </row>
    <row r="11" ht="20" customHeight="1">
      <c r="A11" s="56" t="inlineStr">
        <is>
          <t>Móveis e Utensílios</t>
        </is>
      </c>
      <c r="B11" s="54">
        <f>SUMIFS(Comparativo!$I$6:$I$23,Comparativo!$E$6:$E$23,$A11,Comparativo!$B$6:$B$23,"TI")</f>
        <v/>
      </c>
      <c r="C11" s="54">
        <f>SUMIFS(Comparativo!$J$6:$J$23,Comparativo!$E$6:$E$23,$A11,Comparativo!$B$6:$B$23,"TI")</f>
        <v/>
      </c>
      <c r="D11" s="54">
        <f>B11</f>
        <v/>
      </c>
      <c r="E11" s="54">
        <f>C11</f>
        <v/>
      </c>
      <c r="F11" s="54">
        <f>E11-D11</f>
        <v/>
      </c>
      <c r="G11" s="57">
        <f>IFERROR(F11/D11,"")</f>
        <v/>
      </c>
      <c r="H11" s="54">
        <f>SUMIFS(Planejado!$T$5:$T$22,Planejado!$G$5:$G$22,$A11)</f>
        <v/>
      </c>
    </row>
    <row r="12">
      <c r="A12" s="42" t="inlineStr">
        <is>
          <t>TOTAL</t>
        </is>
      </c>
      <c r="B12" s="43">
        <f>SUM(B5:B11)</f>
        <v/>
      </c>
      <c r="C12" s="43">
        <f>SUM(C5:C11)</f>
        <v/>
      </c>
      <c r="D12" s="43">
        <f>SUM(D5:D11)</f>
        <v/>
      </c>
      <c r="E12" s="43">
        <f>SUM(E5:E11)</f>
        <v/>
      </c>
      <c r="F12" s="43">
        <f>SUM(F5:F11)</f>
        <v/>
      </c>
      <c r="G12" s="60">
        <f>IFERROR(F12/D12,"")</f>
        <v/>
      </c>
      <c r="H12" s="43">
        <f>SUM(H5:H11)</f>
        <v/>
      </c>
    </row>
  </sheetData>
  <mergeCells count="2">
    <mergeCell ref="A2:G2"/>
    <mergeCell ref="A1:G1"/>
  </mergeCells>
  <conditionalFormatting sqref="F5:F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6" t="inlineStr">
        <is>
          <t>#</t>
        </is>
      </c>
      <c r="B4" s="6" t="inlineStr">
        <is>
          <t>Tema</t>
        </is>
      </c>
      <c r="C4" s="6" t="inlineStr">
        <is>
          <t>O que está em aberto</t>
        </is>
      </c>
      <c r="D4" s="6" t="inlineStr">
        <is>
          <t>Impacto no comparativo</t>
        </is>
      </c>
      <c r="E4" s="6" t="inlineStr">
        <is>
          <t>Responsável</t>
        </is>
      </c>
      <c r="F4" s="6" t="inlineStr">
        <is>
          <t>Status</t>
        </is>
      </c>
    </row>
    <row r="5" ht="58" customHeight="1">
      <c r="A5" s="61" t="inlineStr">
        <is>
          <t>B</t>
        </is>
      </c>
      <c r="B5" s="62" t="inlineStr">
        <is>
          <t>Vinicius — custo total A LANÇAR</t>
        </is>
      </c>
      <c r="C5" s="6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5" s="62" t="inlineStr">
        <is>
          <t>A folga do orçado NÃO é economia estrutural. Com o bruto de agosto, sobram R$ 2.346,01 para encargos, o que equivale a 76% sobre o bruto — dentro da faixa normal (67% a 80%), então pode sobrar ou estourar. Só o custo total real vai dizer.</t>
        </is>
      </c>
      <c r="E5" s="62" t="inlineStr">
        <is>
          <t>Cristiane + RH</t>
        </is>
      </c>
      <c r="F5" s="63" t="inlineStr">
        <is>
          <t>A LANÇAR</t>
        </is>
      </c>
    </row>
    <row r="6" ht="58" customHeight="1">
      <c r="A6" s="64" t="inlineStr">
        <is>
          <t>F</t>
        </is>
      </c>
      <c r="B6" s="65" t="inlineStr">
        <is>
          <t>Jonathan — economia de R$ 53.803 até julho</t>
        </is>
      </c>
      <c r="C6" s="65"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6" s="65"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6" s="65" t="inlineStr">
        <is>
          <t>Cristiane</t>
        </is>
      </c>
      <c r="F6" s="66" t="inlineStr">
        <is>
          <t>CONFERIR</t>
        </is>
      </c>
    </row>
    <row r="7" ht="58" customHeight="1">
      <c r="A7" s="61" t="inlineStr">
        <is>
          <t>Z</t>
        </is>
      </c>
      <c r="B7" s="62" t="inlineStr">
        <is>
          <t>Serviços esporádicos do Monitor Remoto — fora do orçamento</t>
        </is>
      </c>
      <c r="C7" s="62"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7" s="62"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7" s="62" t="inlineStr">
        <is>
          <t>Cristiane</t>
        </is>
      </c>
      <c r="F7" s="66" t="inlineStr">
        <is>
          <t>CONFERIR</t>
        </is>
      </c>
    </row>
    <row r="8" ht="58" customHeight="1">
      <c r="A8" s="64" t="inlineStr">
        <is>
          <t>G</t>
        </is>
      </c>
      <c r="B8" s="65" t="inlineStr">
        <is>
          <t>Elias Benedito — sem custo até jul, renegociado para set</t>
        </is>
      </c>
      <c r="C8" s="65" t="inlineStr">
        <is>
          <t>Orçado R$ 1.065/mês, realizado R$ 0 de jan a jul — contrato ativo, mas sem acionamento no período (confirmado pela gestora). O pagamento passa a ocorrer agora, e a partir de set/26 o valor foi renegociado de R$ 1.065 para R$ 603,30.</t>
        </is>
      </c>
      <c r="D8" s="65" t="inlineStr">
        <is>
          <t>Duas economias na mesma linha: R$ 7.455 pelos sete meses sem acionamento, e R$ 461,70/mês (43%) a partir de set pela renegociação — R$ 1.846,80 no ano. O planejado já reflete o valor novo de set a dez.</t>
        </is>
      </c>
      <c r="E8" s="65" t="inlineStr">
        <is>
          <t>Cristiane</t>
        </is>
      </c>
      <c r="F8" s="67" t="inlineStr">
        <is>
          <t>RESOLVIDO</t>
        </is>
      </c>
    </row>
    <row r="9" ht="58" customHeight="1">
      <c r="A9" s="61" t="inlineStr">
        <is>
          <t>H</t>
        </is>
      </c>
      <c r="B9" s="62" t="inlineStr">
        <is>
          <t>Planejado de jan a abr — conferido</t>
        </is>
      </c>
      <c r="C9" s="62"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9" s="62" t="inlineStr">
        <is>
          <t>Conferido e validado pela gestora: os valores replicados estão corretos, nenhum ajuste necessário.</t>
        </is>
      </c>
      <c r="E9" s="62" t="inlineStr">
        <is>
          <t>Cristiane</t>
        </is>
      </c>
      <c r="F9" s="67" t="inlineStr">
        <is>
          <t>APLICADO</t>
        </is>
      </c>
    </row>
    <row r="10" ht="58" customHeight="1">
      <c r="A10" s="64" t="inlineStr">
        <is>
          <t>I</t>
        </is>
      </c>
      <c r="B10" s="65" t="inlineStr">
        <is>
          <t>Realizado de ago a dez — a lançar no decorrer do ano</t>
        </is>
      </c>
      <c r="C10" s="65" t="inlineStr">
        <is>
          <t>Jan a jul estão lançados. Ago a dez ficam em branco e serão preenchidos conforme os meses fecharem, com a extração do SIENGE.</t>
        </is>
      </c>
      <c r="D10" s="65" t="inlineStr">
        <is>
          <t>Enquanto isso, o mês de referência do Comparativo deve ficar no último mês fechado (hoje Jul/26) — assim o acumulado compara períodos iguais dos dois lados.</t>
        </is>
      </c>
      <c r="E10" s="65" t="inlineStr">
        <is>
          <t>Cristiane</t>
        </is>
      </c>
      <c r="F10" s="67" t="inlineStr">
        <is>
          <t>APLICADO</t>
        </is>
      </c>
    </row>
    <row r="11" ht="58" customHeight="1">
      <c r="A11" s="61" t="inlineStr">
        <is>
          <t>M</t>
        </is>
      </c>
      <c r="B11" s="62" t="inlineStr">
        <is>
          <t>Despesas fora do orçamento identificadas no extrato</t>
        </is>
      </c>
      <c r="C11" s="62"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1" s="62"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1" s="62" t="inlineStr">
        <is>
          <t>Cristiane + Diretoria</t>
        </is>
      </c>
      <c r="F11" s="68" t="inlineStr">
        <is>
          <t>PAUTA REUNIÃO</t>
        </is>
      </c>
    </row>
    <row r="12" ht="58" customHeight="1">
      <c r="A12" s="64" t="inlineStr">
        <is>
          <t>J</t>
        </is>
      </c>
      <c r="B12" s="65" t="inlineStr">
        <is>
          <t>Despesas do TI — A LANÇAR</t>
        </is>
      </c>
      <c r="C12" s="65" t="inlineStr">
        <is>
          <t>As 9 linhas de despesas do TI (peças, backup, Adapta, antivírus, Office, sala de reunião, cursos, app de gravação e bonificação) não têm lançamento em nenhum mês.</t>
        </is>
      </c>
      <c r="D12" s="65" t="inlineStr">
        <is>
          <t>São R$ 89.040 orçados no ano, 35% do orçamento do TI. Sem lançamento, o departamento aparece com desvio negativo que é ausência de dado.</t>
        </is>
      </c>
      <c r="E12" s="65" t="inlineStr">
        <is>
          <t>Cristiane</t>
        </is>
      </c>
      <c r="F12" s="63" t="inlineStr">
        <is>
          <t>A LANÇAR</t>
        </is>
      </c>
    </row>
    <row r="13" ht="58" customHeight="1">
      <c r="A13" s="61" t="inlineStr">
        <is>
          <t>1</t>
        </is>
      </c>
      <c r="B13" s="62" t="inlineStr">
        <is>
          <t>Base de meses do TI — Jonathan corrigido para 12 meses</t>
        </is>
      </c>
      <c r="C13" s="62"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3" s="62" t="inlineStr">
        <is>
          <t>Equipe de TI passa de R$ 167.778,30 para R$ 197.778,30 (+R$ 30.000). Os R$ 167.778,30 da ficha continuam batendo com Vinicius e Elias, mas a linha do Jonathan estava subdimensionada em 3 meses.</t>
        </is>
      </c>
      <c r="E13" s="62" t="inlineStr">
        <is>
          <t>Cristiane</t>
        </is>
      </c>
      <c r="F13" s="67" t="inlineStr">
        <is>
          <t>RESOLVIDO</t>
        </is>
      </c>
    </row>
    <row r="14" ht="58" customHeight="1">
      <c r="A14" s="64" t="inlineStr">
        <is>
          <t>2</t>
        </is>
      </c>
      <c r="B14" s="65" t="inlineStr">
        <is>
          <t>Origem do valor realizado — DEFINIDA: SIENGE</t>
        </is>
      </c>
      <c r="C14" s="65" t="inlineStr">
        <is>
          <t>Será aberto um centro de custo próprio no SIENGE e todos os valores do realizado serão extraídos de lá. Nada será lançado manualmente. O extrato das abas 'Contas Pagas' já vem nesse formato.</t>
        </is>
      </c>
      <c r="D14" s="65"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4" s="65" t="inlineStr">
        <is>
          <t>Cristiane + Financeiro</t>
        </is>
      </c>
      <c r="F14" s="67" t="inlineStr">
        <is>
          <t>RESOLVIDO</t>
        </is>
      </c>
    </row>
    <row r="15" ht="58" customHeight="1">
      <c r="A15" s="61" t="inlineStr">
        <is>
          <t>Q</t>
        </is>
      </c>
      <c r="B15" s="62" t="inlineStr">
        <is>
          <t>Adapta lançado no centro de custo errado — RECLASSIFICAR</t>
        </is>
      </c>
      <c r="C15" s="6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15" s="6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15" s="62" t="inlineStr">
        <is>
          <t>Cristiane + Financeiro</t>
        </is>
      </c>
      <c r="F15" s="69" t="inlineStr">
        <is>
          <t>SOLICITADA</t>
        </is>
      </c>
    </row>
    <row r="16" ht="58" customHeight="1">
      <c r="A16" s="64" t="inlineStr">
        <is>
          <t>L</t>
        </is>
      </c>
      <c r="B16" s="65" t="inlineStr">
        <is>
          <t>Ferramentas de IA — DEFINIR META E RATEIO</t>
        </is>
      </c>
      <c r="C16" s="65" t="inlineStr">
        <is>
          <t>Claude, GPT, Adapta One e Adapta Skip existem hoje e não constavam na ficha. Quatro linhas criadas com planejado zerado, à espera da meta. Todas marcadas com RATEIO A DEFINIR: são de uso transversal, não exclusivo do TI.</t>
        </is>
      </c>
      <c r="D16" s="65"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16" s="65" t="inlineStr">
        <is>
          <t>Cristiane + Diretoria</t>
        </is>
      </c>
      <c r="F16" s="68" t="inlineStr">
        <is>
          <t>PAUTA REUNIÃO</t>
        </is>
      </c>
    </row>
    <row r="17" ht="58" customHeight="1">
      <c r="A17" s="61" t="inlineStr">
        <is>
          <t>4</t>
        </is>
      </c>
      <c r="B17" s="62" t="inlineStr">
        <is>
          <t>Rateio dos softwares corporativos e das IAs</t>
        </is>
      </c>
      <c r="C17" s="62" t="inlineStr">
        <is>
          <t>Backup (R$ 9.900), Adapta/IA (R$ 17.400), Antivírus (R$ 2.880) e Office 365 (R$ 4.500) estão marcados na ficha como 'não sei se seria administrativo' — R$ 34.680 no ano. Somam-se a eles as quatro ferramentas de IA do item L, também de uso transversal.</t>
        </is>
      </c>
      <c r="D17" s="6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17" s="62" t="inlineStr">
        <is>
          <t>Cristiane + Controladoria</t>
        </is>
      </c>
      <c r="F17" s="69" t="inlineStr">
        <is>
          <t>EM ABERTO</t>
        </is>
      </c>
    </row>
    <row r="18" ht="58" customHeight="1">
      <c r="A18" s="64" t="inlineStr">
        <is>
          <t>5</t>
        </is>
      </c>
      <c r="B18" s="65" t="inlineStr">
        <is>
          <t>Sala de Reunião — DECIDIDO: executar o projeto completo</t>
        </is>
      </c>
      <c r="C18" s="65" t="inlineStr">
        <is>
          <t>DECISÃO DA GESTORA: executar como está, no escopo original. Entram tanto os itens de infraestrutura (câmeras, microfones, cadeiras) quanto os de consumo e ambientação (cafeteira, copos, canetas e blocos personalizados). Orçamento mantido em R$ 2.800/mês, R$ 33.600 no ano, sem nenhum lançamento até jun/26. Revoga a decisão anterior de executar só o funcional.</t>
        </is>
      </c>
      <c r="D18" s="65" t="inlineStr">
        <is>
          <t>É a maior despesa isolada do TI e 38% do que a área tem orçado em despesas, então o mês em que a compra ocorrer vai dominar o comparativo. DEFINIR: se é compra pontual ou parcelada. Hoje está diluída linearmente em 12 meses — se for compra única, o desvio vai acusar economia falsa todo mês até a compra e um pico no mês em que ela acontecer; nesse caso vale concentrar o planejado no mês previsto. OBSERVAR: os itens de consumo e brinde deste projeto são a exceção à decisão do item U, que tirou papelaria do TI — aqui ficam por serem parte de um projeto de ambientação, não reposição de material de escritório. E a ressalva da própria gestora continua de pé: o projeto melhora a qualidade da reunião, não a capacidade da sala. Se o espaço não comporta todas as pessoas, isso segue verdade depois da compra.</t>
        </is>
      </c>
      <c r="E18" s="65" t="inlineStr">
        <is>
          <t>Cristiane</t>
        </is>
      </c>
      <c r="F18" s="69" t="inlineStr">
        <is>
          <t>APROVADO</t>
        </is>
      </c>
    </row>
    <row r="19" ht="58" customHeight="1">
      <c r="A19" s="61" t="inlineStr">
        <is>
          <t>R</t>
        </is>
      </c>
      <c r="B19" s="62" t="inlineStr">
        <is>
          <t>Notebooks — TI compra, mas não enxerga o saldo das áreas</t>
        </is>
      </c>
      <c r="C19" s="6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19" s="6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19" s="62" t="inlineStr">
        <is>
          <t>Cristiane + Diretoria</t>
        </is>
      </c>
      <c r="F19" s="68" t="inlineStr">
        <is>
          <t>PAUTA REUNIÃO</t>
        </is>
      </c>
    </row>
    <row r="20" ht="58" customHeight="1">
      <c r="A20" s="64" t="inlineStr">
        <is>
          <t>S</t>
        </is>
      </c>
      <c r="B20" s="65" t="inlineStr">
        <is>
          <t>Rubricas genéricas — detalhar no lançamento, não no orçamento</t>
        </is>
      </c>
      <c r="C20" s="65" t="inlineStr">
        <is>
          <t>Rubricas como 'Peças de Manutenção' (R$ 9.720/ano) agrupam itens de naturezas diferentes: mouse, teclado, carregador, tela, carcaça. Sem detalhe, não dá para saber o que puxa o gasto. A alternativa de criar uma linha por item foi avaliada e descartada por ora.</t>
        </is>
      </c>
      <c r="D20" s="65"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0" s="65" t="inlineStr">
        <is>
          <t>Cristiane</t>
        </is>
      </c>
      <c r="F20" s="67" t="inlineStr">
        <is>
          <t>APLICADO</t>
        </is>
      </c>
    </row>
    <row r="21" ht="58" customHeight="1">
      <c r="A21" s="61" t="inlineStr">
        <is>
          <t>T</t>
        </is>
      </c>
      <c r="B21" s="62" t="inlineStr">
        <is>
          <t>Política de troca 1x1 e empréstimo — IMPLANTAR</t>
        </is>
      </c>
      <c r="C21" s="6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21" s="6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21" s="62" t="inlineStr">
        <is>
          <t>Cristiane + Vinicius</t>
        </is>
      </c>
      <c r="F21" s="69" t="inlineStr">
        <is>
          <t>APROVADA</t>
        </is>
      </c>
    </row>
    <row r="22" ht="58" customHeight="1">
      <c r="A22" s="64" t="inlineStr">
        <is>
          <t>U</t>
        </is>
      </c>
      <c r="B22" s="65" t="inlineStr">
        <is>
          <t>Papelaria não é TI — manter no Administrativo</t>
        </is>
      </c>
      <c r="C22" s="65"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22" s="65"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22" s="65" t="inlineStr">
        <is>
          <t>Cristiane + Administrativo</t>
        </is>
      </c>
      <c r="F22" s="69" t="inlineStr">
        <is>
          <t>CONFIRMADA</t>
        </is>
      </c>
    </row>
    <row r="23" ht="58" customHeight="1">
      <c r="A23" s="61" t="inlineStr">
        <is>
          <t>V</t>
        </is>
      </c>
      <c r="B23" s="62" t="inlineStr">
        <is>
          <t>AnyDesk — contratação prevista, definir valor</t>
        </is>
      </c>
      <c r="C23" s="62" t="inlineStr">
        <is>
          <t>Licença de acesso remoto que será contratada e não constava na ficha. Linha criada com planejado zerado, à espera do valor e do mês de início.</t>
        </is>
      </c>
      <c r="D23" s="6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23" s="62" t="inlineStr">
        <is>
          <t>Cristiane</t>
        </is>
      </c>
      <c r="F23" s="69" t="inlineStr">
        <is>
          <t>DEFINIR VALOR</t>
        </is>
      </c>
    </row>
    <row r="24" ht="58" customHeight="1">
      <c r="A24" s="64" t="inlineStr">
        <is>
          <t>W</t>
        </is>
      </c>
      <c r="B24" s="65" t="inlineStr">
        <is>
          <t>Vitor (diretoria) — Claude ou GPT? PERGUNTAR</t>
        </is>
      </c>
      <c r="C24" s="65" t="inlineStr">
        <is>
          <t>Confirmar com o Vitor se ele seguirá usando o Claude, o GPT, ou os dois. Hoje as duas ferramentas estão contratadas e são de mesma finalidade — IA generalista —, então manter as duas para o mesmo usuário é redundância paga.</t>
        </is>
      </c>
      <c r="D24" s="65"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24" s="65" t="inlineStr">
        <is>
          <t>Cristiane + Vitor</t>
        </is>
      </c>
      <c r="F24" s="69" t="inlineStr">
        <is>
          <t>PERGUNTAR</t>
        </is>
      </c>
    </row>
    <row r="25" ht="58" customHeight="1">
      <c r="A25" s="61" t="inlineStr">
        <is>
          <t>X</t>
        </is>
      </c>
      <c r="B25" s="62" t="inlineStr">
        <is>
          <t>Mapa de licenças de IA — quem usa o quê</t>
        </is>
      </c>
      <c r="C25" s="62" t="inlineStr">
        <is>
          <t>Situação atual conhecida: a licença do GPT era da Thamar e hoje é usada em conjunto por Gil, Miguel e Thamar. Uma licença também foi cedida ao Financeiro. Falta o mapa completo — quem usa cada ferramenta, em qual área e sob qual login.</t>
        </is>
      </c>
      <c r="D25" s="6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25" s="62" t="inlineStr">
        <is>
          <t>Cristiane + Vitor</t>
        </is>
      </c>
      <c r="F25" s="69" t="inlineStr">
        <is>
          <t>LEVANTAR</t>
        </is>
      </c>
    </row>
    <row r="26" ht="58" customHeight="1">
      <c r="A26" s="64" t="inlineStr">
        <is>
          <t>Y</t>
        </is>
      </c>
      <c r="B26" s="65" t="inlineStr">
        <is>
          <t>Divisão de responsabilidades no acompanhamento</t>
        </is>
      </c>
      <c r="C26" s="65" t="inlineStr">
        <is>
          <t>Definição de quem faz o quê no controle orçamentário do TI. Capacidades: Vinicius, analista, 173 h/mês a R$ 31,25/h de custo total; Jonathan, consultor/desenvolvedor, 3 dias por semana, 104 h/mês a R$ 60,58/h — o dobro. Cristiane na gestão.</t>
        </is>
      </c>
      <c r="D26" s="65"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26" s="65" t="inlineStr">
        <is>
          <t>Cristiane</t>
        </is>
      </c>
      <c r="F26" s="67" t="inlineStr">
        <is>
          <t>APLICADO</t>
        </is>
      </c>
    </row>
    <row r="27" ht="58" customHeight="1">
      <c r="A27" s="61" t="inlineStr">
        <is>
          <t>6</t>
        </is>
      </c>
      <c r="B27" s="62" t="inlineStr">
        <is>
          <t>Office 365 — CONFIRMAR se R$ 440 é por licença ou o total</t>
        </is>
      </c>
      <c r="C27" s="6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27" s="6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27" s="62" t="inlineStr">
        <is>
          <t>Cristiane</t>
        </is>
      </c>
      <c r="F27" s="69" t="inlineStr">
        <is>
          <t>CONFIRMAR</t>
        </is>
      </c>
    </row>
    <row r="28" ht="58" customHeight="1">
      <c r="A28" s="64" t="inlineStr">
        <is>
          <t>7</t>
        </is>
      </c>
      <c r="B28" s="65" t="inlineStr">
        <is>
          <t>Competência x caixa — DECIDIDO: COMPETÊNCIA</t>
        </is>
      </c>
      <c r="C28" s="65" t="inlineStr">
        <is>
          <t>Todos os PJs prestam no mês e recebem no seguinte — Miguel, Thamar e Dra. Michele no Jurídico; Elias e Jonathan no TI. O realizado foi convertido para COMPETÊNCIA: os valores dos PJs foram deslocados um mês para trás em relação à data de pagamento. O que foi pago em jan/26 era serviço de dez/25 e saiu do exercício.</t>
        </is>
      </c>
      <c r="D28" s="65" t="inlineStr">
        <is>
          <t>Três efeitos. (1) O último mês completo passa a ser JUNHO, não julho: o serviço de jul só fecha quando sair o pagamento de ago — o mês de referência do Comparativo foi ajustado. (2) A conversão validou a entrada do Jonathan: por competência, o primeiro mês de serviço dele cai em abr, exatamente como informado. (3) O Monitor Remoto zerou no exercício — aquele pagamento de jan era serviço de dez/25. Os CLT (Geovanna e Vinicius) seguem a mesma regra, confirmado pela gestora: folha paga no mês seguinte, também deslocados. A CONFERIR apenas na Thamar: se o aumento valeu para o serviço de mar ou de abr. Ao configurar a extração no SIENGE, travar o regime de competência e manter — trocar no meio do ano mistura critérios no histórico.</t>
        </is>
      </c>
      <c r="E28" s="65" t="inlineStr">
        <is>
          <t>Cristiane + Financeiro</t>
        </is>
      </c>
      <c r="F28" s="67" t="inlineStr">
        <is>
          <t>APLICADO</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0" t="inlineStr">
        <is>
          <t>ROTINA MENSAL</t>
        </is>
      </c>
    </row>
    <row r="5" ht="34" customHeight="1">
      <c r="A5" s="70" t="inlineStr">
        <is>
          <t>1</t>
        </is>
      </c>
      <c r="B5" s="71" t="inlineStr">
        <is>
          <t>Extraia do SIENGE o relatório do centro de custo do departamento, no mês que fechou. A fonte do realizado é o SIENGE — nada é digitado de cabeça.</t>
        </is>
      </c>
    </row>
    <row r="6" ht="34" customHeight="1">
      <c r="A6" s="70" t="inlineStr">
        <is>
          <t>2</t>
        </is>
      </c>
      <c r="B6" s="71"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0" t="inlineStr">
        <is>
          <t>3</t>
        </is>
      </c>
      <c r="B7" s="71" t="inlineStr">
        <is>
          <t>Vá na aba COMPARATIVO e selecione o mês em B3. Todas as demais abas acompanham essa escolha.</t>
        </is>
      </c>
    </row>
    <row r="8" ht="34" customHeight="1">
      <c r="A8" s="70" t="inlineStr">
        <is>
          <t>4</t>
        </is>
      </c>
      <c r="B8" s="71" t="inlineStr">
        <is>
          <t>Confira o PAINEL: ele mostra o desvio por departamento e os 5 maiores estouros do acumulado. É a tela para levar à diretoria.</t>
        </is>
      </c>
    </row>
    <row r="9" ht="34" customHeight="1">
      <c r="A9" s="70" t="inlineStr">
        <is>
          <t>5</t>
        </is>
      </c>
      <c r="B9" s="71" t="inlineStr">
        <is>
          <t>Atualize a aba PENDÊNCIAS conforme as decisões forem sendo tomadas.</t>
        </is>
      </c>
    </row>
    <row r="10" ht="8" customHeight="1"/>
    <row r="11" ht="22" customHeight="1">
      <c r="A11" s="30" t="inlineStr">
        <is>
          <t>PADRÃO DE DESCRIÇÃO</t>
        </is>
      </c>
    </row>
    <row r="12" ht="34" customHeight="1">
      <c r="A12" s="70" t="inlineStr">
        <is>
          <t>Rubricas genéricas</t>
        </is>
      </c>
      <c r="B12" s="71"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0" t="inlineStr">
        <is>
          <t>COMO LER OS NÚMEROS</t>
        </is>
      </c>
    </row>
    <row r="15" ht="34" customHeight="1">
      <c r="A15" s="70" t="inlineStr">
        <is>
          <t>Desvio positivo (vermelho)</t>
        </is>
      </c>
      <c r="B15" s="71" t="inlineStr">
        <is>
          <t>Gastou ACIMA do orçado.</t>
        </is>
      </c>
    </row>
    <row r="16" ht="34" customHeight="1">
      <c r="A16" s="70" t="inlineStr">
        <is>
          <t>Desvio negativo (verde)</t>
        </is>
      </c>
      <c r="B16" s="71" t="inlineStr">
        <is>
          <t>Gastou ABAIXO do orçado — economia ou despesa ainda não realizada.</t>
        </is>
      </c>
    </row>
    <row r="17" ht="34" customHeight="1">
      <c r="A17" s="70" t="inlineStr">
        <is>
          <t>Planejado acum.</t>
        </is>
      </c>
      <c r="B17" s="71" t="inlineStr">
        <is>
          <t>Soma de maio até o mês selecionado.</t>
        </is>
      </c>
    </row>
    <row r="18" ht="34" customHeight="1">
      <c r="A18" s="70" t="inlineStr">
        <is>
          <t>% Executado</t>
        </is>
      </c>
      <c r="B18" s="71" t="inlineStr">
        <is>
          <t>Realizado acumulado ÷ Planejado acumulado. Perto de 100% = no ritmo.</t>
        </is>
      </c>
    </row>
    <row r="19" ht="34" customHeight="1">
      <c r="A19" s="70" t="inlineStr">
        <is>
          <t>Sem lançamento</t>
        </is>
      </c>
      <c r="B19" s="71" t="inlineStr">
        <is>
          <t>Nada foi lançado no realizado ainda — não confunda com economia.</t>
        </is>
      </c>
    </row>
    <row r="20" ht="8" customHeight="1"/>
    <row r="21" ht="22" customHeight="1">
      <c r="A21" s="30" t="inlineStr">
        <is>
          <t>REGRAS DA PLANILHA</t>
        </is>
      </c>
    </row>
    <row r="22" ht="34" customHeight="1">
      <c r="A22" s="70" t="inlineStr">
        <is>
          <t>Não altere</t>
        </is>
      </c>
      <c r="B22" s="71" t="inlineStr">
        <is>
          <t>As colunas de identificação da aba Realizado (A a G) são fórmulas que espelham a aba Planejado. Alterar quebra o comparativo.</t>
        </is>
      </c>
    </row>
    <row r="23" ht="34" customHeight="1">
      <c r="A23" s="70" t="inlineStr">
        <is>
          <t>Nova linha de orçamento</t>
        </is>
      </c>
      <c r="B23" s="71" t="inlineStr">
        <is>
          <t>Insira na aba Planejado e replique a mesma linha na aba Realizado e na aba Comparativo, mantendo o mesmo ID.</t>
        </is>
      </c>
    </row>
    <row r="24" ht="34" customHeight="1">
      <c r="A24" s="70" t="inlineStr">
        <is>
          <t>Revisão de orçamento</t>
        </is>
      </c>
      <c r="B24" s="71"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6" t="inlineStr">
        <is>
          <t>Pessoa</t>
        </is>
      </c>
      <c r="B4" s="6" t="inlineStr">
        <is>
          <t>Função</t>
        </is>
      </c>
      <c r="C4" s="6" t="inlineStr">
        <is>
          <t>Vínculo</t>
        </is>
      </c>
      <c r="D4" s="6" t="inlineStr">
        <is>
          <t>Capacidade</t>
        </is>
      </c>
      <c r="E4" s="6" t="inlineStr">
        <is>
          <t>Custo/hora</t>
        </is>
      </c>
    </row>
    <row r="5" ht="20" customHeight="1">
      <c r="A5" s="72" t="inlineStr">
        <is>
          <t>Cristiane Rabelo</t>
        </is>
      </c>
      <c r="B5" s="73" t="inlineStr">
        <is>
          <t>Gestora de TI e Jurídico</t>
        </is>
      </c>
      <c r="C5" s="74" t="inlineStr">
        <is>
          <t>—</t>
        </is>
      </c>
      <c r="D5" s="74" t="inlineStr">
        <is>
          <t>—</t>
        </is>
      </c>
      <c r="E5" s="75" t="n"/>
    </row>
    <row r="6" ht="20" customHeight="1">
      <c r="A6" s="72" t="inlineStr">
        <is>
          <t>Vinicius Di Franco</t>
        </is>
      </c>
      <c r="B6" s="73" t="inlineStr">
        <is>
          <t>Analista Administrativo</t>
        </is>
      </c>
      <c r="C6" s="74" t="inlineStr">
        <is>
          <t>CLT</t>
        </is>
      </c>
      <c r="D6" s="74" t="inlineStr">
        <is>
          <t>173 h/mês (5x8h)</t>
        </is>
      </c>
      <c r="E6" s="75" t="n">
        <v>31.25</v>
      </c>
    </row>
    <row r="7" ht="20" customHeight="1">
      <c r="A7" s="72" t="inlineStr">
        <is>
          <t>Jonathan (J H Alves)</t>
        </is>
      </c>
      <c r="B7" s="73" t="inlineStr">
        <is>
          <t>Consultor / Desenvolvedor</t>
        </is>
      </c>
      <c r="C7" s="74" t="inlineStr">
        <is>
          <t>PJ</t>
        </is>
      </c>
      <c r="D7" s="74" t="inlineStr">
        <is>
          <t>104 h/mês (3x8h)</t>
        </is>
      </c>
      <c r="E7" s="75" t="n">
        <v>60.58</v>
      </c>
    </row>
    <row r="8" ht="20" customHeight="1">
      <c r="A8" s="72" t="inlineStr">
        <is>
          <t>Elias Benedito</t>
        </is>
      </c>
      <c r="B8" s="73" t="inlineStr">
        <is>
          <t>Suporte Técnico Terceirizado</t>
        </is>
      </c>
      <c r="C8" s="74" t="inlineStr">
        <is>
          <t>PJ</t>
        </is>
      </c>
      <c r="D8" s="74" t="inlineStr">
        <is>
          <t>Sob demanda</t>
        </is>
      </c>
      <c r="E8" s="75" t="n"/>
    </row>
    <row r="10" ht="22" customHeight="1">
      <c r="A10" s="76" t="inlineStr">
        <is>
          <t>CRISTIANE — gestora de TI e Jurídico</t>
        </is>
      </c>
    </row>
    <row r="11" ht="42" customHeight="1">
      <c r="A11" s="77" t="inlineStr">
        <is>
          <t>ESCOPO</t>
        </is>
      </c>
      <c r="B11" s="78" t="inlineStr">
        <is>
          <t>Responde pelas duas áreas: TI (R$ 284.971,50 orçados em 2026) e Jurídico (R$ 324.730,42), num total de R$ 609.701,92. Equipe direta de sete pessoas entre CLT e PJ.</t>
        </is>
      </c>
      <c r="C11" s="79" t="n"/>
      <c r="D11" s="79" t="n"/>
      <c r="E11" s="79" t="n"/>
    </row>
    <row r="12" ht="18" customHeight="1">
      <c r="A12" s="80" t="inlineStr">
        <is>
          <t>— ORÇAMENTO —</t>
        </is>
      </c>
    </row>
    <row r="13" ht="42" customHeight="1">
      <c r="A13" s="77" t="inlineStr">
        <is>
          <t>Montar e revisar o orçamento</t>
        </is>
      </c>
      <c r="B13" s="78" t="inlineStr">
        <is>
          <t>Definir as linhas do ano, os valores e a base de meses de cada contrato. Revisar quando houver reajuste, entrada ou saída — como o aumento da Thamar, o do Vinicius e a inclusão da Dra. Michele.</t>
        </is>
      </c>
      <c r="C13" s="79" t="n"/>
      <c r="D13" s="79" t="n"/>
      <c r="E13" s="79" t="n"/>
    </row>
    <row r="14" ht="42" customHeight="1">
      <c r="A14" s="77" t="inlineStr">
        <is>
          <t>Aprovar o que entra e sai</t>
        </is>
      </c>
      <c r="B14" s="78" t="inlineStr">
        <is>
          <t>Nenhuma linha nova ou cancelamento sem passar por ela. Exemplos do período: cancelamento do Astrea, criação das linhas de IA, entrada do AnyDesk, decisão sobre a sala de reunião.</t>
        </is>
      </c>
      <c r="C14" s="79" t="n"/>
      <c r="D14" s="79" t="n"/>
      <c r="E14" s="79" t="n"/>
    </row>
    <row r="15" ht="42" customHeight="1">
      <c r="A15" s="77" t="inlineStr">
        <is>
          <t>Validar o fechamento mensal</t>
        </is>
      </c>
      <c r="B15" s="78" t="inlineStr">
        <is>
          <t>Conferir o que o analista lançou antes de o número virar informação oficial. Olhar a coluna 'Linhas lançadas' do Painel: desvio negativo em linha não lançada é ausência de dado, não economia.</t>
        </is>
      </c>
      <c r="C15" s="79" t="n"/>
      <c r="D15" s="79" t="n"/>
      <c r="E15" s="79" t="n"/>
    </row>
    <row r="16" ht="42" customHeight="1">
      <c r="A16" s="77" t="inlineStr">
        <is>
          <t>Responder pelo desvio</t>
        </is>
      </c>
      <c r="B16" s="78" t="inlineStr">
        <is>
          <t>Explicar cada estouro e cada economia — o que foi decisão de gestão, o que foi erro de origem do orçamento e o que é só falta de lançamento.</t>
        </is>
      </c>
      <c r="C16" s="79" t="n"/>
      <c r="D16" s="79" t="n"/>
      <c r="E16" s="79" t="n"/>
    </row>
    <row r="17" ht="18" customHeight="1">
      <c r="A17" s="80" t="inlineStr">
        <is>
          <t>— CONTRATOS E FORNECEDORES —</t>
        </is>
      </c>
    </row>
    <row r="18" ht="42" customHeight="1">
      <c r="A18" s="77" t="inlineStr">
        <is>
          <t>Negociar valor e condições</t>
        </is>
      </c>
      <c r="B18" s="78" t="inlineStr">
        <is>
          <t>É o que gerou as economias do ano: Jonathan de R$ 10.000 para R$ 6.300 e Elias de R$ 1.065 para R$ 603,30, 43% de redução. Só a negociação responde por boa parte dos R$ 56.946 economizados no TI.</t>
        </is>
      </c>
      <c r="C18" s="79" t="n"/>
      <c r="D18" s="79" t="n"/>
      <c r="E18" s="79" t="n"/>
    </row>
    <row r="19" ht="42" customHeight="1">
      <c r="A19" s="77" t="inlineStr">
        <is>
          <t>Decidir contratar, manter ou cancelar</t>
        </is>
      </c>
      <c r="B19" s="78" t="inlineStr">
        <is>
          <t>Avaliar necessidade real antes de assinar e cortar o que não entrega. No período: Jusfy cancelado antes de iniciar, Astrea em cancelamento, contratação do Jonathan segurada por três meses.</t>
        </is>
      </c>
      <c r="C19" s="79" t="n"/>
      <c r="D19" s="79" t="n"/>
      <c r="E19" s="79" t="n"/>
    </row>
    <row r="20" ht="42" customHeight="1">
      <c r="A20" s="77" t="inlineStr">
        <is>
          <t>Controlar prazos de renovação</t>
        </is>
      </c>
      <c r="B20" s="78" t="inlineStr">
        <is>
          <t>Contratos anuais renovam sozinhos. O Astrea cobra em cartão e o ciclo vira em 01/11 — se o cancelamento não estiver confirmado até lá, entra anuidade de cerca de R$ 7.400 sem previsão orçamentária.</t>
        </is>
      </c>
      <c r="C20" s="79" t="n"/>
      <c r="D20" s="79" t="n"/>
      <c r="E20" s="79" t="n"/>
    </row>
    <row r="21" ht="18" customHeight="1">
      <c r="A21" s="80" t="inlineStr">
        <is>
          <t>— PESSOAS —</t>
        </is>
      </c>
    </row>
    <row r="22" ht="42" customHeight="1">
      <c r="A22" s="77" t="inlineStr">
        <is>
          <t>Dimensionar a equipe</t>
        </is>
      </c>
      <c r="B22" s="78" t="inlineStr">
        <is>
          <t>Definir quem é CLT, quem é PJ, quantas horas e com que escopo. Decidir quando segurar uma contratação, como fez de jan a mar com o consultor.</t>
        </is>
      </c>
      <c r="C22" s="79" t="n"/>
      <c r="D22" s="79" t="n"/>
      <c r="E22" s="79" t="n"/>
    </row>
    <row r="23" ht="42" customHeight="1">
      <c r="A23" s="77" t="inlineStr">
        <is>
          <t>Alocar o trabalho por custo</t>
        </is>
      </c>
      <c r="B23" s="78" t="inlineStr">
        <is>
          <t>Manter a rotina com o analista e a capacidade cara reservada para o que só ela resolve. A hora do consultor custa o dobro e são só 104 por mês.</t>
        </is>
      </c>
      <c r="C23" s="79" t="n"/>
      <c r="D23" s="79" t="n"/>
      <c r="E23" s="79" t="n"/>
    </row>
    <row r="24" ht="42" customHeight="1">
      <c r="A24" s="77" t="inlineStr">
        <is>
          <t>Reajustes e bonificações</t>
        </is>
      </c>
      <c r="B24" s="78" t="inlineStr">
        <is>
          <t>Aprovar aumentos e decidir sobre as bonificações previstas em ago e dez, que somam R$ 29.160,60 nas duas áreas.</t>
        </is>
      </c>
      <c r="C24" s="79" t="n"/>
      <c r="D24" s="79" t="n"/>
      <c r="E24" s="79" t="n"/>
    </row>
    <row r="25" ht="18" customHeight="1">
      <c r="A25" s="80" t="inlineStr">
        <is>
          <t>— POLÍTICAS E GOVERNANÇA —</t>
        </is>
      </c>
    </row>
    <row r="26" ht="42" customHeight="1">
      <c r="A26" s="77" t="inlineStr">
        <is>
          <t>Definir regras de uso</t>
        </is>
      </c>
      <c r="B26" s="78" t="inlineStr">
        <is>
          <t>Troca 1x1 de equipamento, estoque reserva para empréstimo, quem pode gerar chave de API, quem tem licença de IA e sob qual login.</t>
        </is>
      </c>
      <c r="C26" s="79" t="n"/>
      <c r="D26" s="79" t="n"/>
      <c r="E26" s="79" t="n"/>
    </row>
    <row r="27" ht="42" customHeight="1">
      <c r="A27" s="77" t="inlineStr">
        <is>
          <t>Rateio e centro de custo</t>
        </is>
      </c>
      <c r="B27" s="78" t="inlineStr">
        <is>
          <t>Definir com a controladoria o que é do TI e o que é corporativo: oito linhas de uso transversal estão marcadas como RATEIO A DEFINIR, e o Adapta está classificado na área errada.</t>
        </is>
      </c>
      <c r="C27" s="79" t="n"/>
      <c r="D27" s="79" t="n"/>
      <c r="E27" s="79" t="n"/>
    </row>
    <row r="28" ht="42" customHeight="1">
      <c r="A28" s="77" t="inlineStr">
        <is>
          <t>Zelar pelo sigilo</t>
        </is>
      </c>
      <c r="B28" s="78" t="inlineStr">
        <is>
          <t>Num escritório de advocacia, licença de IA compartilhada expõe o histórico de um cliente a quem não atua no caso. É risco de sigilo profissional, não só de custo.</t>
        </is>
      </c>
      <c r="C28" s="79" t="n"/>
      <c r="D28" s="79" t="n"/>
      <c r="E28" s="79" t="n"/>
    </row>
    <row r="29" ht="18" customHeight="1">
      <c r="A29" s="80" t="inlineStr">
        <is>
          <t>— RELACIONAMENTO —</t>
        </is>
      </c>
    </row>
    <row r="30" ht="42" customHeight="1">
      <c r="A30" s="77" t="inlineStr">
        <is>
          <t>Diretoria</t>
        </is>
      </c>
      <c r="B30" s="78" t="inlineStr">
        <is>
          <t>Apresentar o Painel, defender os números e levar as pautas em aberto. Hoje são seis: sala de reunião, meta das IAs, notebooks, despesas fora do orçamento, reclassificação do Adapta e erro de origem do Astrea.</t>
        </is>
      </c>
      <c r="C30" s="79" t="n"/>
      <c r="D30" s="79" t="n"/>
      <c r="E30" s="79" t="n"/>
    </row>
    <row r="31" ht="42" customHeight="1">
      <c r="A31" s="77" t="inlineStr">
        <is>
          <t>Financeiro e controladoria</t>
        </is>
      </c>
      <c r="B31" s="78" t="inlineStr">
        <is>
          <t>Abertura do centro de custo no SIENGE, escolha do regime (competência ou caixa), reclassificações e separação entre custo e repasse.</t>
        </is>
      </c>
      <c r="C31" s="79" t="n"/>
      <c r="D31" s="79" t="n"/>
      <c r="E31" s="79" t="n"/>
    </row>
    <row r="32" ht="42" customHeight="1">
      <c r="A32" s="77" t="inlineStr">
        <is>
          <t>RH e Administrativo</t>
        </is>
      </c>
      <c r="B32" s="78" t="inlineStr">
        <is>
          <t>Custo total dos CLT para o comparativo, e o que sai do TI por não ser dele — papelaria e treinamento corporativo.</t>
        </is>
      </c>
      <c r="C32" s="79" t="n"/>
      <c r="D32" s="79" t="n"/>
      <c r="E32" s="79" t="n"/>
    </row>
    <row r="33" ht="42" customHeight="1">
      <c r="A33" s="77" t="inlineStr">
        <is>
          <t>Outras áreas</t>
        </is>
      </c>
      <c r="B33" s="78" t="inlineStr">
        <is>
          <t>Avisar antes do estouro quando uma solicitação de equipamento passar do saldo da rubrica delas.</t>
        </is>
      </c>
      <c r="C33" s="79" t="n"/>
      <c r="D33" s="79" t="n"/>
      <c r="E33" s="79" t="n"/>
    </row>
    <row r="35" ht="22" customHeight="1">
      <c r="A35" s="30" t="inlineStr">
        <is>
          <t>VINICIUS — suporte, rotina e apoio ao desenvolvimento</t>
        </is>
      </c>
    </row>
    <row r="36" ht="42" customHeight="1">
      <c r="A36" s="77" t="inlineStr">
        <is>
          <t>Suporte ao usuário</t>
        </is>
      </c>
      <c r="B36" s="78" t="inlineStr">
        <is>
          <t>Atendimento do dia a dia às áreas: equipamento, acesso, software.</t>
        </is>
      </c>
      <c r="C36" s="79" t="n"/>
      <c r="D36" s="79" t="n"/>
      <c r="E36" s="79" t="n"/>
    </row>
    <row r="37" ht="42" customHeight="1">
      <c r="A37" s="77" t="inlineStr">
        <is>
          <t>Fechamento mensal do orçamento</t>
        </is>
      </c>
      <c r="B37" s="78" t="inlineStr">
        <is>
          <t>Extrair o relatório do centro de custo no SIENGE e lançar o realizado na aba Realizado, preenchendo a coluna Fonte do dado com a data da extração. Item sem gasto no mês recebe 0, não fica em branco.</t>
        </is>
      </c>
      <c r="C37" s="79" t="n"/>
      <c r="D37" s="79" t="n"/>
      <c r="E37" s="79" t="n"/>
    </row>
    <row r="38" ht="42" customHeight="1">
      <c r="A38" s="77" t="inlineStr">
        <is>
          <t>Controle de equipamentos</t>
        </is>
      </c>
      <c r="B38" s="78" t="inlineStr">
        <is>
          <t>Registrar solicitações e empréstimos na aba própria, cobrar a devolução do item quebrado na troca 1x1 e controlar o estoque reserva.</t>
        </is>
      </c>
      <c r="C38" s="79" t="n"/>
      <c r="D38" s="79" t="n"/>
      <c r="E38" s="79" t="n"/>
    </row>
    <row r="39" ht="42" customHeight="1">
      <c r="A39" s="77" t="inlineStr">
        <is>
          <t>Saldo por área</t>
        </is>
      </c>
      <c r="B39" s="78" t="inlineStr">
        <is>
          <t>Acompanhar quanto resta na rubrica de cada área e avisar ANTES de comprar quando a solicitação for levar ao estouro.</t>
        </is>
      </c>
      <c r="C39" s="79" t="n"/>
      <c r="D39" s="79" t="n"/>
      <c r="E39" s="79" t="n"/>
    </row>
    <row r="40" ht="42" customHeight="1">
      <c r="A40" s="77" t="inlineStr">
        <is>
          <t>Conferência de faturas</t>
        </is>
      </c>
      <c r="B40" s="78" t="inlineStr">
        <is>
          <t>Bater o valor cobrado contra o contrato. Foi assim que apareceram o Jusbrasil 30% acima e o Astrea a 5x o orçado.</t>
        </is>
      </c>
      <c r="C40" s="79" t="n"/>
      <c r="D40" s="79" t="n"/>
      <c r="E40" s="79" t="n"/>
    </row>
    <row r="41" ht="42" customHeight="1">
      <c r="A41" s="77" t="inlineStr">
        <is>
          <t>Padrão de descrição no SIENGE</t>
        </is>
      </c>
      <c r="B41" s="78" t="inlineStr">
        <is>
          <t>Em rubricas genéricas, detalhar o item na descrição do lançamento ('Peças – mouse', 'Peças – tela'), para a análise sair por filtro.</t>
        </is>
      </c>
      <c r="C41" s="79" t="n"/>
      <c r="D41" s="79" t="n"/>
      <c r="E41" s="79" t="n"/>
    </row>
    <row r="42" ht="42" customHeight="1">
      <c r="A42" s="77" t="inlineStr">
        <is>
          <t>Apoio operacional ao desenvolvimento</t>
        </is>
      </c>
      <c r="B42" s="78" t="inlineStr">
        <is>
          <t>Assumir as tarefas operacionais do que o Jonathan conduz. Cada hora que sai das mãos dele a R$ 31,25 libera uma hora de R$ 60,58 — é o que multiplica a capacidade limitada do consultor.</t>
        </is>
      </c>
      <c r="C42" s="79" t="n"/>
      <c r="D42" s="79" t="n"/>
      <c r="E42" s="79" t="n"/>
    </row>
    <row r="44" ht="22" customHeight="1">
      <c r="A44" s="24" t="inlineStr">
        <is>
          <t>JONATHAN — técnico e pontual, nunca rotina</t>
        </is>
      </c>
    </row>
    <row r="45" ht="42" customHeight="1">
      <c r="A45" s="77" t="inlineStr">
        <is>
          <t>Desenvolvimento</t>
        </is>
      </c>
      <c r="B45" s="78" t="inlineStr">
        <is>
          <t>O trabalho de projeto para o qual foi contratado, 3 dias por semana.</t>
        </is>
      </c>
      <c r="C45" s="79" t="n"/>
      <c r="D45" s="79" t="n"/>
      <c r="E45" s="79" t="n"/>
    </row>
    <row r="46" ht="42" customHeight="1">
      <c r="A46" s="77" t="inlineStr">
        <is>
          <t>Automatizar a extração do SIENGE</t>
        </is>
      </c>
      <c r="B46" s="78" t="inlineStr">
        <is>
          <t>Entrega de maior retorno: gasta algumas horas uma vez e devolve tempo do analista todo mês.</t>
        </is>
      </c>
      <c r="C46" s="79" t="n"/>
      <c r="D46" s="79" t="n"/>
      <c r="E46" s="79" t="n"/>
    </row>
    <row r="47" ht="42" customHeight="1">
      <c r="A47" s="77" t="inlineStr">
        <is>
          <t>Avaliar AnyDesk</t>
        </is>
      </c>
      <c r="B47" s="78" t="inlineStr">
        <is>
          <t>Definir necessidade, plano e valor da licença de acesso remoto.</t>
        </is>
      </c>
      <c r="C47" s="79" t="n"/>
      <c r="D47" s="79" t="n"/>
      <c r="E47" s="79" t="n"/>
    </row>
    <row r="48" ht="42" customHeight="1">
      <c r="A48" s="77" t="inlineStr">
        <is>
          <t>Avaliar Claude x GPT e planos de equipe</t>
        </is>
      </c>
      <c r="B48" s="78" t="inlineStr">
        <is>
          <t>Subsidiar a decisão do Vitor e resolver o compartilhamento de login, que hoje expõe histórico de cliente entre usuários.</t>
        </is>
      </c>
      <c r="C48" s="79" t="n"/>
      <c r="D48" s="79" t="n"/>
      <c r="E48" s="79" t="n"/>
    </row>
    <row r="49" ht="42" customHeight="1">
      <c r="A49" s="77" t="inlineStr">
        <is>
          <t>Investigar o consumo de API</t>
        </is>
      </c>
      <c r="B49" s="78" t="inlineStr">
        <is>
          <t>O gasto da OpenAI saltou de R$ 322 em mar para R$ 5.394 em abr, padrão de consumo por uso. Configurar limite rígido de gasto e definir quem pode gerar chave.</t>
        </is>
      </c>
      <c r="C49" s="79" t="n"/>
      <c r="D49" s="79" t="n"/>
      <c r="E49" s="79" t="n"/>
    </row>
    <row r="50" ht="42" customHeight="1">
      <c r="A50" s="77" t="inlineStr">
        <is>
          <t>NÃO fazer</t>
        </is>
      </c>
      <c r="B50" s="78" t="inlineStr">
        <is>
          <t>Rotina administrativa, lançamento de planilha, controle de estoque. São 104 h/mês a R$ 60,58 — se ele aparecer na rotina mensal, é sinal de que algo deveria ter sido automatizado.</t>
        </is>
      </c>
      <c r="C50" s="79" t="n"/>
      <c r="D50" s="79" t="n"/>
      <c r="E50" s="79" t="n"/>
    </row>
    <row r="52" ht="22" customHeight="1">
      <c r="A52" s="81" t="inlineStr">
        <is>
          <t>ELIAS — suporte técnico sob demanda</t>
        </is>
      </c>
    </row>
    <row r="53" ht="42" customHeight="1">
      <c r="A53" s="77" t="inlineStr">
        <is>
          <t>Acionamento pontual</t>
        </is>
      </c>
      <c r="B53" s="78" t="inlineStr">
        <is>
          <t>Contrato ativo, acionado conforme a necessidade. Sem acionamento de jan a jul/26. Valor renegociado de R$ 1.065 para R$ 603,30 a partir de set/26.</t>
        </is>
      </c>
      <c r="C53" s="79" t="n"/>
      <c r="D53" s="79" t="n"/>
      <c r="E53" s="79" t="n"/>
    </row>
    <row r="55" ht="32" customHeight="1">
      <c r="A55" s="82"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0" t="inlineStr">
        <is>
          <t>REGRAS</t>
        </is>
      </c>
    </row>
    <row r="5" ht="30" customHeight="1">
      <c r="A5" s="83" t="inlineStr">
        <is>
          <t>Troca 1x1</t>
        </is>
      </c>
      <c r="B5" s="78" t="inlineStr">
        <is>
          <t>Para receber um item novo, a pessoa entrega o que quebrou. O patrimônio devolvido é registrado na coluna própria.</t>
        </is>
      </c>
      <c r="C5" s="79" t="n"/>
      <c r="D5" s="79" t="n"/>
      <c r="E5" s="79" t="n"/>
      <c r="F5" s="79" t="n"/>
      <c r="G5" s="79" t="n"/>
      <c r="H5" s="79" t="n"/>
      <c r="I5" s="79" t="n"/>
      <c r="J5" s="79" t="n"/>
    </row>
    <row r="6" ht="30" customHeight="1">
      <c r="A6" s="83" t="inlineStr">
        <is>
          <t>Empréstimo</t>
        </is>
      </c>
      <c r="B6" s="78" t="inlineStr">
        <is>
          <t>Quem está sem o equipamento sai com um reserva na hora, para não ficar parado. O reserva é COM FIO de propósito: mais barato e menos confortável que o definitivo, o que cria o incentivo para devolver e fechar a troca.</t>
        </is>
      </c>
      <c r="C6" s="79" t="n"/>
      <c r="D6" s="79" t="n"/>
      <c r="E6" s="79" t="n"/>
      <c r="F6" s="79" t="n"/>
      <c r="G6" s="79" t="n"/>
      <c r="H6" s="79" t="n"/>
      <c r="I6" s="79" t="n"/>
      <c r="J6" s="79" t="n"/>
    </row>
    <row r="7" ht="30" customHeight="1">
      <c r="A7" s="83" t="inlineStr">
        <is>
          <t>Prazo: 7 dias</t>
        </is>
      </c>
      <c r="B7" s="78" t="inlineStr">
        <is>
          <t>O empréstimo vale por 7 dias corridos. Passou disso, o status vira 'Atrasado' e o TI cobra a devolução. A coluna 'Dias em posse' calcula sozinha a partir da data de saída.</t>
        </is>
      </c>
      <c r="C7" s="79" t="n"/>
      <c r="D7" s="79" t="n"/>
      <c r="E7" s="79" t="n"/>
      <c r="F7" s="79" t="n"/>
      <c r="G7" s="79" t="n"/>
      <c r="H7" s="79" t="n"/>
      <c r="I7" s="79" t="n"/>
      <c r="J7" s="79" t="n"/>
    </row>
    <row r="8" ht="30" customHeight="1">
      <c r="A8" s="83" t="inlineStr">
        <is>
          <t>Sem devolução</t>
        </is>
      </c>
      <c r="B8" s="78" t="inlineStr">
        <is>
          <t>Se a pessoa não entrega o item antigo, a solicitação fica 'Pendente devolução' e não vira compra até ser resolvida.</t>
        </is>
      </c>
      <c r="C8" s="79" t="n"/>
      <c r="D8" s="79" t="n"/>
      <c r="E8" s="79" t="n"/>
      <c r="F8" s="79" t="n"/>
      <c r="G8" s="79" t="n"/>
      <c r="H8" s="79" t="n"/>
      <c r="I8" s="79" t="n"/>
      <c r="J8" s="79" t="n"/>
    </row>
    <row r="9" ht="30" customHeight="1">
      <c r="A9" s="83" t="inlineStr">
        <is>
          <t>Aviso de saldo</t>
        </is>
      </c>
      <c r="B9" s="78" t="inlineStr">
        <is>
          <t>Antes de aprovar, conferir o saldo da rubrica da área solicitante. Se a compra for levar ao estouro, avisar a área ANTES de comprar (pendência R).</t>
        </is>
      </c>
      <c r="C9" s="79" t="n"/>
      <c r="D9" s="79" t="n"/>
      <c r="E9" s="79" t="n"/>
      <c r="F9" s="79" t="n"/>
      <c r="G9" s="79" t="n"/>
      <c r="H9" s="79" t="n"/>
      <c r="I9" s="79" t="n"/>
      <c r="J9" s="79" t="n"/>
    </row>
    <row r="11" ht="22" customHeight="1">
      <c r="A11" s="76" t="inlineStr">
        <is>
          <t>SOLICITAÇÕES</t>
        </is>
      </c>
    </row>
    <row r="12" ht="30" customHeight="1">
      <c r="A12" s="6" t="inlineStr">
        <is>
          <t>Data</t>
        </is>
      </c>
      <c r="B12" s="6" t="inlineStr">
        <is>
          <t>Área solicitante</t>
        </is>
      </c>
      <c r="C12" s="6" t="inlineStr">
        <is>
          <t>Solicitante</t>
        </is>
      </c>
      <c r="D12" s="6" t="inlineStr">
        <is>
          <t>Item</t>
        </is>
      </c>
      <c r="E12" s="6" t="inlineStr">
        <is>
          <t>Motivo</t>
        </is>
      </c>
      <c r="F12" s="6" t="inlineStr">
        <is>
          <t>Devolveu o antigo?</t>
        </is>
      </c>
      <c r="G12" s="6" t="inlineStr">
        <is>
          <t>Patrimônio devolvido</t>
        </is>
      </c>
      <c r="H12" s="6" t="inlineStr">
        <is>
          <t>Valor estimado</t>
        </is>
      </c>
      <c r="I12" s="6" t="inlineStr">
        <is>
          <t>Status</t>
        </is>
      </c>
      <c r="J12" s="6" t="inlineStr">
        <is>
          <t>Observações</t>
        </is>
      </c>
    </row>
    <row r="13">
      <c r="A13" s="84" t="n"/>
      <c r="B13" s="84" t="n"/>
      <c r="C13" s="84" t="n"/>
      <c r="D13" s="84" t="n"/>
      <c r="E13" s="84" t="n"/>
      <c r="F13" s="84" t="n"/>
      <c r="G13" s="84" t="n"/>
      <c r="H13" s="49" t="n"/>
      <c r="I13" s="84" t="n"/>
      <c r="J13" s="84" t="n"/>
    </row>
    <row r="14">
      <c r="A14" s="84" t="n"/>
      <c r="B14" s="84" t="n"/>
      <c r="C14" s="84" t="n"/>
      <c r="D14" s="84" t="n"/>
      <c r="E14" s="84" t="n"/>
      <c r="F14" s="84" t="n"/>
      <c r="G14" s="84" t="n"/>
      <c r="H14" s="49" t="n"/>
      <c r="I14" s="84" t="n"/>
      <c r="J14" s="84" t="n"/>
    </row>
    <row r="15">
      <c r="A15" s="84" t="n"/>
      <c r="B15" s="84" t="n"/>
      <c r="C15" s="84" t="n"/>
      <c r="D15" s="84" t="n"/>
      <c r="E15" s="84" t="n"/>
      <c r="F15" s="84" t="n"/>
      <c r="G15" s="84" t="n"/>
      <c r="H15" s="49" t="n"/>
      <c r="I15" s="84" t="n"/>
      <c r="J15" s="84" t="n"/>
    </row>
    <row r="16">
      <c r="A16" s="84" t="n"/>
      <c r="B16" s="84" t="n"/>
      <c r="C16" s="84" t="n"/>
      <c r="D16" s="84" t="n"/>
      <c r="E16" s="84" t="n"/>
      <c r="F16" s="84" t="n"/>
      <c r="G16" s="84" t="n"/>
      <c r="H16" s="49" t="n"/>
      <c r="I16" s="84" t="n"/>
      <c r="J16" s="84" t="n"/>
    </row>
    <row r="17">
      <c r="A17" s="84" t="n"/>
      <c r="B17" s="84" t="n"/>
      <c r="C17" s="84" t="n"/>
      <c r="D17" s="84" t="n"/>
      <c r="E17" s="84" t="n"/>
      <c r="F17" s="84" t="n"/>
      <c r="G17" s="84" t="n"/>
      <c r="H17" s="49" t="n"/>
      <c r="I17" s="84" t="n"/>
      <c r="J17" s="84" t="n"/>
    </row>
    <row r="18">
      <c r="A18" s="84" t="n"/>
      <c r="B18" s="84" t="n"/>
      <c r="C18" s="84" t="n"/>
      <c r="D18" s="84" t="n"/>
      <c r="E18" s="84" t="n"/>
      <c r="F18" s="84" t="n"/>
      <c r="G18" s="84" t="n"/>
      <c r="H18" s="49" t="n"/>
      <c r="I18" s="84" t="n"/>
      <c r="J18" s="84" t="n"/>
    </row>
    <row r="19">
      <c r="A19" s="84" t="n"/>
      <c r="B19" s="84" t="n"/>
      <c r="C19" s="84" t="n"/>
      <c r="D19" s="84" t="n"/>
      <c r="E19" s="84" t="n"/>
      <c r="F19" s="84" t="n"/>
      <c r="G19" s="84" t="n"/>
      <c r="H19" s="49" t="n"/>
      <c r="I19" s="84" t="n"/>
      <c r="J19" s="84" t="n"/>
    </row>
    <row r="20">
      <c r="A20" s="84" t="n"/>
      <c r="B20" s="84" t="n"/>
      <c r="C20" s="84" t="n"/>
      <c r="D20" s="84" t="n"/>
      <c r="E20" s="84" t="n"/>
      <c r="F20" s="84" t="n"/>
      <c r="G20" s="84" t="n"/>
      <c r="H20" s="49" t="n"/>
      <c r="I20" s="84" t="n"/>
      <c r="J20" s="84" t="n"/>
    </row>
    <row r="21">
      <c r="A21" s="84" t="n"/>
      <c r="B21" s="84" t="n"/>
      <c r="C21" s="84" t="n"/>
      <c r="D21" s="84" t="n"/>
      <c r="E21" s="84" t="n"/>
      <c r="F21" s="84" t="n"/>
      <c r="G21" s="84" t="n"/>
      <c r="H21" s="49" t="n"/>
      <c r="I21" s="84" t="n"/>
      <c r="J21" s="84" t="n"/>
    </row>
    <row r="22">
      <c r="A22" s="84" t="n"/>
      <c r="B22" s="84" t="n"/>
      <c r="C22" s="84" t="n"/>
      <c r="D22" s="84" t="n"/>
      <c r="E22" s="84" t="n"/>
      <c r="F22" s="84" t="n"/>
      <c r="G22" s="84" t="n"/>
      <c r="H22" s="49" t="n"/>
      <c r="I22" s="84" t="n"/>
      <c r="J22" s="84" t="n"/>
    </row>
    <row r="23">
      <c r="A23" s="84" t="n"/>
      <c r="B23" s="84" t="n"/>
      <c r="C23" s="84" t="n"/>
      <c r="D23" s="84" t="n"/>
      <c r="E23" s="84" t="n"/>
      <c r="F23" s="84" t="n"/>
      <c r="G23" s="84" t="n"/>
      <c r="H23" s="49" t="n"/>
      <c r="I23" s="84" t="n"/>
      <c r="J23" s="84" t="n"/>
    </row>
    <row r="24">
      <c r="A24" s="84" t="n"/>
      <c r="B24" s="84" t="n"/>
      <c r="C24" s="84" t="n"/>
      <c r="D24" s="84" t="n"/>
      <c r="E24" s="84" t="n"/>
      <c r="F24" s="84" t="n"/>
      <c r="G24" s="84" t="n"/>
      <c r="H24" s="49" t="n"/>
      <c r="I24" s="84" t="n"/>
      <c r="J24" s="84" t="n"/>
    </row>
    <row r="25">
      <c r="A25" s="84" t="n"/>
      <c r="B25" s="84" t="n"/>
      <c r="C25" s="84" t="n"/>
      <c r="D25" s="84" t="n"/>
      <c r="E25" s="84" t="n"/>
      <c r="F25" s="84" t="n"/>
      <c r="G25" s="84" t="n"/>
      <c r="H25" s="49" t="n"/>
      <c r="I25" s="84" t="n"/>
      <c r="J25" s="84" t="n"/>
    </row>
    <row r="26">
      <c r="A26" s="84" t="n"/>
      <c r="B26" s="84" t="n"/>
      <c r="C26" s="84" t="n"/>
      <c r="D26" s="84" t="n"/>
      <c r="E26" s="84" t="n"/>
      <c r="F26" s="84" t="n"/>
      <c r="G26" s="84" t="n"/>
      <c r="H26" s="49" t="n"/>
      <c r="I26" s="84" t="n"/>
      <c r="J26" s="84" t="n"/>
    </row>
    <row r="27">
      <c r="A27" s="84" t="n"/>
      <c r="B27" s="84" t="n"/>
      <c r="C27" s="84" t="n"/>
      <c r="D27" s="84" t="n"/>
      <c r="E27" s="84" t="n"/>
      <c r="F27" s="84" t="n"/>
      <c r="G27" s="84" t="n"/>
      <c r="H27" s="49" t="n"/>
      <c r="I27" s="84" t="n"/>
      <c r="J27" s="84" t="n"/>
    </row>
    <row r="28">
      <c r="A28" s="84" t="n"/>
      <c r="B28" s="84" t="n"/>
      <c r="C28" s="84" t="n"/>
      <c r="D28" s="84" t="n"/>
      <c r="E28" s="84" t="n"/>
      <c r="F28" s="84" t="n"/>
      <c r="G28" s="84" t="n"/>
      <c r="H28" s="49" t="n"/>
      <c r="I28" s="84" t="n"/>
      <c r="J28" s="84" t="n"/>
    </row>
    <row r="29">
      <c r="A29" s="84" t="n"/>
      <c r="B29" s="84" t="n"/>
      <c r="C29" s="84" t="n"/>
      <c r="D29" s="84" t="n"/>
      <c r="E29" s="84" t="n"/>
      <c r="F29" s="84" t="n"/>
      <c r="G29" s="84" t="n"/>
      <c r="H29" s="49" t="n"/>
      <c r="I29" s="84" t="n"/>
      <c r="J29" s="84" t="n"/>
    </row>
    <row r="30">
      <c r="A30" s="84" t="n"/>
      <c r="B30" s="84" t="n"/>
      <c r="C30" s="84" t="n"/>
      <c r="D30" s="84" t="n"/>
      <c r="E30" s="84" t="n"/>
      <c r="F30" s="84" t="n"/>
      <c r="G30" s="84" t="n"/>
      <c r="H30" s="49" t="n"/>
      <c r="I30" s="84" t="n"/>
      <c r="J30" s="84" t="n"/>
    </row>
    <row r="31">
      <c r="A31" s="84" t="n"/>
      <c r="B31" s="84" t="n"/>
      <c r="C31" s="84" t="n"/>
      <c r="D31" s="84" t="n"/>
      <c r="E31" s="84" t="n"/>
      <c r="F31" s="84" t="n"/>
      <c r="G31" s="84" t="n"/>
      <c r="H31" s="49" t="n"/>
      <c r="I31" s="84" t="n"/>
      <c r="J31" s="84" t="n"/>
    </row>
    <row r="32">
      <c r="A32" s="84" t="n"/>
      <c r="B32" s="84" t="n"/>
      <c r="C32" s="84" t="n"/>
      <c r="D32" s="84" t="n"/>
      <c r="E32" s="84" t="n"/>
      <c r="F32" s="84" t="n"/>
      <c r="G32" s="84" t="n"/>
      <c r="H32" s="49" t="n"/>
      <c r="I32" s="84" t="n"/>
      <c r="J32" s="84" t="n"/>
    </row>
    <row r="33">
      <c r="A33" s="84" t="n"/>
      <c r="B33" s="84" t="n"/>
      <c r="C33" s="84" t="n"/>
      <c r="D33" s="84" t="n"/>
      <c r="E33" s="84" t="n"/>
      <c r="F33" s="84" t="n"/>
      <c r="G33" s="84" t="n"/>
      <c r="H33" s="49" t="n"/>
      <c r="I33" s="84" t="n"/>
      <c r="J33" s="84" t="n"/>
    </row>
    <row r="34">
      <c r="A34" s="84" t="n"/>
      <c r="B34" s="84" t="n"/>
      <c r="C34" s="84" t="n"/>
      <c r="D34" s="84" t="n"/>
      <c r="E34" s="84" t="n"/>
      <c r="F34" s="84" t="n"/>
      <c r="G34" s="84" t="n"/>
      <c r="H34" s="49" t="n"/>
      <c r="I34" s="84" t="n"/>
      <c r="J34" s="84" t="n"/>
    </row>
    <row r="35">
      <c r="A35" s="84" t="n"/>
      <c r="B35" s="84" t="n"/>
      <c r="C35" s="84" t="n"/>
      <c r="D35" s="84" t="n"/>
      <c r="E35" s="84" t="n"/>
      <c r="F35" s="84" t="n"/>
      <c r="G35" s="84" t="n"/>
      <c r="H35" s="49" t="n"/>
      <c r="I35" s="84" t="n"/>
      <c r="J35" s="84" t="n"/>
    </row>
    <row r="36">
      <c r="A36" s="84" t="n"/>
      <c r="B36" s="84" t="n"/>
      <c r="C36" s="84" t="n"/>
      <c r="D36" s="84" t="n"/>
      <c r="E36" s="84" t="n"/>
      <c r="F36" s="84" t="n"/>
      <c r="G36" s="84" t="n"/>
      <c r="H36" s="49" t="n"/>
      <c r="I36" s="84" t="n"/>
      <c r="J36" s="84" t="n"/>
    </row>
    <row r="37">
      <c r="A37" s="84" t="n"/>
      <c r="B37" s="84" t="n"/>
      <c r="C37" s="84" t="n"/>
      <c r="D37" s="84" t="n"/>
      <c r="E37" s="84" t="n"/>
      <c r="F37" s="84" t="n"/>
      <c r="G37" s="84" t="n"/>
      <c r="H37" s="49" t="n"/>
      <c r="I37" s="84" t="n"/>
      <c r="J37" s="84" t="n"/>
    </row>
    <row r="38">
      <c r="A38" s="84" t="n"/>
      <c r="B38" s="84" t="n"/>
      <c r="C38" s="84" t="n"/>
      <c r="D38" s="84" t="n"/>
      <c r="E38" s="84" t="n"/>
      <c r="F38" s="84" t="n"/>
      <c r="G38" s="84" t="n"/>
      <c r="H38" s="49" t="n"/>
      <c r="I38" s="84" t="n"/>
      <c r="J38" s="84" t="n"/>
    </row>
    <row r="39">
      <c r="A39" s="84" t="n"/>
      <c r="B39" s="84" t="n"/>
      <c r="C39" s="84" t="n"/>
      <c r="D39" s="84" t="n"/>
      <c r="E39" s="84" t="n"/>
      <c r="F39" s="84" t="n"/>
      <c r="G39" s="84" t="n"/>
      <c r="H39" s="49" t="n"/>
      <c r="I39" s="84" t="n"/>
      <c r="J39" s="84" t="n"/>
    </row>
    <row r="40">
      <c r="A40" s="84" t="n"/>
      <c r="B40" s="84" t="n"/>
      <c r="C40" s="84" t="n"/>
      <c r="D40" s="84" t="n"/>
      <c r="E40" s="84" t="n"/>
      <c r="F40" s="84" t="n"/>
      <c r="G40" s="84" t="n"/>
      <c r="H40" s="49" t="n"/>
      <c r="I40" s="84" t="n"/>
      <c r="J40" s="84" t="n"/>
    </row>
    <row r="41">
      <c r="A41" s="84" t="n"/>
      <c r="B41" s="84" t="n"/>
      <c r="C41" s="84" t="n"/>
      <c r="D41" s="84" t="n"/>
      <c r="E41" s="84" t="n"/>
      <c r="F41" s="84" t="n"/>
      <c r="G41" s="84" t="n"/>
      <c r="H41" s="49" t="n"/>
      <c r="I41" s="84" t="n"/>
      <c r="J41" s="84" t="n"/>
    </row>
    <row r="42">
      <c r="A42" s="84" t="n"/>
      <c r="B42" s="84" t="n"/>
      <c r="C42" s="84" t="n"/>
      <c r="D42" s="84" t="n"/>
      <c r="E42" s="84" t="n"/>
      <c r="F42" s="84" t="n"/>
      <c r="G42" s="84" t="n"/>
      <c r="H42" s="49" t="n"/>
      <c r="I42" s="84" t="n"/>
      <c r="J42" s="84" t="n"/>
    </row>
    <row r="43">
      <c r="A43" s="84" t="n"/>
      <c r="B43" s="84" t="n"/>
      <c r="C43" s="84" t="n"/>
      <c r="D43" s="84" t="n"/>
      <c r="E43" s="84" t="n"/>
      <c r="F43" s="84" t="n"/>
      <c r="G43" s="84" t="n"/>
      <c r="H43" s="49" t="n"/>
      <c r="I43" s="84" t="n"/>
      <c r="J43" s="84" t="n"/>
    </row>
    <row r="44">
      <c r="A44" s="84" t="n"/>
      <c r="B44" s="84" t="n"/>
      <c r="C44" s="84" t="n"/>
      <c r="D44" s="84" t="n"/>
      <c r="E44" s="84" t="n"/>
      <c r="F44" s="84" t="n"/>
      <c r="G44" s="84" t="n"/>
      <c r="H44" s="49" t="n"/>
      <c r="I44" s="84" t="n"/>
      <c r="J44" s="84" t="n"/>
    </row>
    <row r="45">
      <c r="A45" s="84" t="n"/>
      <c r="B45" s="84" t="n"/>
      <c r="C45" s="84" t="n"/>
      <c r="D45" s="84" t="n"/>
      <c r="E45" s="84" t="n"/>
      <c r="F45" s="84" t="n"/>
      <c r="G45" s="84" t="n"/>
      <c r="H45" s="49" t="n"/>
      <c r="I45" s="84" t="n"/>
      <c r="J45" s="84" t="n"/>
    </row>
    <row r="46">
      <c r="A46" s="84" t="n"/>
      <c r="B46" s="84" t="n"/>
      <c r="C46" s="84" t="n"/>
      <c r="D46" s="84" t="n"/>
      <c r="E46" s="84" t="n"/>
      <c r="F46" s="84" t="n"/>
      <c r="G46" s="84" t="n"/>
      <c r="H46" s="49" t="n"/>
      <c r="I46" s="84" t="n"/>
      <c r="J46" s="84" t="n"/>
    </row>
    <row r="47">
      <c r="A47" s="84" t="n"/>
      <c r="B47" s="84" t="n"/>
      <c r="C47" s="84" t="n"/>
      <c r="D47" s="84" t="n"/>
      <c r="E47" s="84" t="n"/>
      <c r="F47" s="84" t="n"/>
      <c r="G47" s="84" t="n"/>
      <c r="H47" s="49" t="n"/>
      <c r="I47" s="84" t="n"/>
      <c r="J47" s="84" t="n"/>
    </row>
    <row r="48">
      <c r="A48" s="84" t="n"/>
      <c r="B48" s="84" t="n"/>
      <c r="C48" s="84" t="n"/>
      <c r="D48" s="84" t="n"/>
      <c r="E48" s="84" t="n"/>
      <c r="F48" s="84" t="n"/>
      <c r="G48" s="84" t="n"/>
      <c r="H48" s="49" t="n"/>
      <c r="I48" s="84" t="n"/>
      <c r="J48" s="84" t="n"/>
    </row>
    <row r="49">
      <c r="A49" s="84" t="n"/>
      <c r="B49" s="84" t="n"/>
      <c r="C49" s="84" t="n"/>
      <c r="D49" s="84" t="n"/>
      <c r="E49" s="84" t="n"/>
      <c r="F49" s="84" t="n"/>
      <c r="G49" s="84" t="n"/>
      <c r="H49" s="49" t="n"/>
      <c r="I49" s="84" t="n"/>
      <c r="J49" s="84" t="n"/>
    </row>
    <row r="50">
      <c r="A50" s="84" t="n"/>
      <c r="B50" s="84" t="n"/>
      <c r="C50" s="84" t="n"/>
      <c r="D50" s="84" t="n"/>
      <c r="E50" s="84" t="n"/>
      <c r="F50" s="84" t="n"/>
      <c r="G50" s="84" t="n"/>
      <c r="H50" s="49" t="n"/>
      <c r="I50" s="84" t="n"/>
      <c r="J50" s="84" t="n"/>
    </row>
    <row r="51">
      <c r="A51" s="84" t="n"/>
      <c r="B51" s="84" t="n"/>
      <c r="C51" s="84" t="n"/>
      <c r="D51" s="84" t="n"/>
      <c r="E51" s="84" t="n"/>
      <c r="F51" s="84" t="n"/>
      <c r="G51" s="84" t="n"/>
      <c r="H51" s="49" t="n"/>
      <c r="I51" s="84" t="n"/>
      <c r="J51" s="84" t="n"/>
    </row>
    <row r="52">
      <c r="A52" s="84" t="n"/>
      <c r="B52" s="84" t="n"/>
      <c r="C52" s="84" t="n"/>
      <c r="D52" s="84" t="n"/>
      <c r="E52" s="84" t="n"/>
      <c r="F52" s="84" t="n"/>
      <c r="G52" s="84" t="n"/>
      <c r="H52" s="49" t="n"/>
      <c r="I52" s="84" t="n"/>
      <c r="J52" s="84" t="n"/>
    </row>
    <row r="54" ht="22" customHeight="1">
      <c r="A54" s="24" t="inlineStr">
        <is>
          <t>EMPRÉSTIMOS (equipamento reserva)</t>
        </is>
      </c>
    </row>
    <row r="55" ht="30" customHeight="1">
      <c r="A55" s="85" t="inlineStr">
        <is>
          <t>Item emprestado</t>
        </is>
      </c>
      <c r="B55" s="85" t="inlineStr">
        <is>
          <t>Patrimônio</t>
        </is>
      </c>
      <c r="C55" s="85" t="inlineStr">
        <is>
          <t>Área</t>
        </is>
      </c>
      <c r="D55" s="85" t="inlineStr">
        <is>
          <t>Pessoa</t>
        </is>
      </c>
      <c r="E55" s="85" t="inlineStr">
        <is>
          <t>Saída em</t>
        </is>
      </c>
      <c r="F55" s="85" t="inlineStr">
        <is>
          <t>Previsão de devolução</t>
        </is>
      </c>
      <c r="G55" s="85" t="inlineStr">
        <is>
          <t>Devolvido em</t>
        </is>
      </c>
      <c r="H55" s="85" t="inlineStr">
        <is>
          <t>Status</t>
        </is>
      </c>
      <c r="I55" s="85" t="inlineStr">
        <is>
          <t>Dias em posse (limite: 7)</t>
        </is>
      </c>
      <c r="J55" s="85" t="inlineStr">
        <is>
          <t>Observações</t>
        </is>
      </c>
    </row>
    <row r="56">
      <c r="A56" s="84" t="n"/>
      <c r="B56" s="84" t="n"/>
      <c r="C56" s="84" t="n"/>
      <c r="D56" s="84" t="n"/>
      <c r="E56" s="84" t="n"/>
      <c r="F56" s="84" t="n"/>
      <c r="G56" s="84" t="n"/>
      <c r="H56" s="84" t="n"/>
      <c r="I56" s="86">
        <f>IF(E56="","",IF(G56="",TODAY()-E56,G56-E56))</f>
        <v/>
      </c>
      <c r="J56" s="84" t="n"/>
    </row>
    <row r="57">
      <c r="A57" s="84" t="n"/>
      <c r="B57" s="84" t="n"/>
      <c r="C57" s="84" t="n"/>
      <c r="D57" s="84" t="n"/>
      <c r="E57" s="84" t="n"/>
      <c r="F57" s="84" t="n"/>
      <c r="G57" s="84" t="n"/>
      <c r="H57" s="84" t="n"/>
      <c r="I57" s="86">
        <f>IF(E57="","",IF(G57="",TODAY()-E57,G57-E57))</f>
        <v/>
      </c>
      <c r="J57" s="84" t="n"/>
    </row>
    <row r="58">
      <c r="A58" s="84" t="n"/>
      <c r="B58" s="84" t="n"/>
      <c r="C58" s="84" t="n"/>
      <c r="D58" s="84" t="n"/>
      <c r="E58" s="84" t="n"/>
      <c r="F58" s="84" t="n"/>
      <c r="G58" s="84" t="n"/>
      <c r="H58" s="84" t="n"/>
      <c r="I58" s="86">
        <f>IF(E58="","",IF(G58="",TODAY()-E58,G58-E58))</f>
        <v/>
      </c>
      <c r="J58" s="84" t="n"/>
    </row>
    <row r="59">
      <c r="A59" s="84" t="n"/>
      <c r="B59" s="84" t="n"/>
      <c r="C59" s="84" t="n"/>
      <c r="D59" s="84" t="n"/>
      <c r="E59" s="84" t="n"/>
      <c r="F59" s="84" t="n"/>
      <c r="G59" s="84" t="n"/>
      <c r="H59" s="84" t="n"/>
      <c r="I59" s="86">
        <f>IF(E59="","",IF(G59="",TODAY()-E59,G59-E59))</f>
        <v/>
      </c>
      <c r="J59" s="84" t="n"/>
    </row>
    <row r="60">
      <c r="A60" s="84" t="n"/>
      <c r="B60" s="84" t="n"/>
      <c r="C60" s="84" t="n"/>
      <c r="D60" s="84" t="n"/>
      <c r="E60" s="84" t="n"/>
      <c r="F60" s="84" t="n"/>
      <c r="G60" s="84" t="n"/>
      <c r="H60" s="84" t="n"/>
      <c r="I60" s="86">
        <f>IF(E60="","",IF(G60="",TODAY()-E60,G60-E60))</f>
        <v/>
      </c>
      <c r="J60" s="84" t="n"/>
    </row>
    <row r="61">
      <c r="A61" s="84" t="n"/>
      <c r="B61" s="84" t="n"/>
      <c r="C61" s="84" t="n"/>
      <c r="D61" s="84" t="n"/>
      <c r="E61" s="84" t="n"/>
      <c r="F61" s="84" t="n"/>
      <c r="G61" s="84" t="n"/>
      <c r="H61" s="84" t="n"/>
      <c r="I61" s="86">
        <f>IF(E61="","",IF(G61="",TODAY()-E61,G61-E61))</f>
        <v/>
      </c>
      <c r="J61" s="84" t="n"/>
    </row>
    <row r="62">
      <c r="A62" s="84" t="n"/>
      <c r="B62" s="84" t="n"/>
      <c r="C62" s="84" t="n"/>
      <c r="D62" s="84" t="n"/>
      <c r="E62" s="84" t="n"/>
      <c r="F62" s="84" t="n"/>
      <c r="G62" s="84" t="n"/>
      <c r="H62" s="84" t="n"/>
      <c r="I62" s="86">
        <f>IF(E62="","",IF(G62="",TODAY()-E62,G62-E62))</f>
        <v/>
      </c>
      <c r="J62" s="84" t="n"/>
    </row>
    <row r="63">
      <c r="A63" s="84" t="n"/>
      <c r="B63" s="84" t="n"/>
      <c r="C63" s="84" t="n"/>
      <c r="D63" s="84" t="n"/>
      <c r="E63" s="84" t="n"/>
      <c r="F63" s="84" t="n"/>
      <c r="G63" s="84" t="n"/>
      <c r="H63" s="84" t="n"/>
      <c r="I63" s="86">
        <f>IF(E63="","",IF(G63="",TODAY()-E63,G63-E63))</f>
        <v/>
      </c>
      <c r="J63" s="84" t="n"/>
    </row>
    <row r="64">
      <c r="A64" s="84" t="n"/>
      <c r="B64" s="84" t="n"/>
      <c r="C64" s="84" t="n"/>
      <c r="D64" s="84" t="n"/>
      <c r="E64" s="84" t="n"/>
      <c r="F64" s="84" t="n"/>
      <c r="G64" s="84" t="n"/>
      <c r="H64" s="84" t="n"/>
      <c r="I64" s="86">
        <f>IF(E64="","",IF(G64="",TODAY()-E64,G64-E64))</f>
        <v/>
      </c>
      <c r="J64" s="84" t="n"/>
    </row>
    <row r="65">
      <c r="A65" s="84" t="n"/>
      <c r="B65" s="84" t="n"/>
      <c r="C65" s="84" t="n"/>
      <c r="D65" s="84" t="n"/>
      <c r="E65" s="84" t="n"/>
      <c r="F65" s="84" t="n"/>
      <c r="G65" s="84" t="n"/>
      <c r="H65" s="84" t="n"/>
      <c r="I65" s="86">
        <f>IF(E65="","",IF(G65="",TODAY()-E65,G65-E65))</f>
        <v/>
      </c>
      <c r="J65" s="84" t="n"/>
    </row>
    <row r="66">
      <c r="A66" s="84" t="n"/>
      <c r="B66" s="84" t="n"/>
      <c r="C66" s="84" t="n"/>
      <c r="D66" s="84" t="n"/>
      <c r="E66" s="84" t="n"/>
      <c r="F66" s="84" t="n"/>
      <c r="G66" s="84" t="n"/>
      <c r="H66" s="84" t="n"/>
      <c r="I66" s="86">
        <f>IF(E66="","",IF(G66="",TODAY()-E66,G66-E66))</f>
        <v/>
      </c>
      <c r="J66" s="84" t="n"/>
    </row>
    <row r="67">
      <c r="A67" s="84" t="n"/>
      <c r="B67" s="84" t="n"/>
      <c r="C67" s="84" t="n"/>
      <c r="D67" s="84" t="n"/>
      <c r="E67" s="84" t="n"/>
      <c r="F67" s="84" t="n"/>
      <c r="G67" s="84" t="n"/>
      <c r="H67" s="84" t="n"/>
      <c r="I67" s="86">
        <f>IF(E67="","",IF(G67="",TODAY()-E67,G67-E67))</f>
        <v/>
      </c>
      <c r="J67" s="84" t="n"/>
    </row>
    <row r="68">
      <c r="A68" s="84" t="n"/>
      <c r="B68" s="84" t="n"/>
      <c r="C68" s="84" t="n"/>
      <c r="D68" s="84" t="n"/>
      <c r="E68" s="84" t="n"/>
      <c r="F68" s="84" t="n"/>
      <c r="G68" s="84" t="n"/>
      <c r="H68" s="84" t="n"/>
      <c r="I68" s="86">
        <f>IF(E68="","",IF(G68="",TODAY()-E68,G68-E68))</f>
        <v/>
      </c>
      <c r="J68" s="84" t="n"/>
    </row>
    <row r="69">
      <c r="A69" s="84" t="n"/>
      <c r="B69" s="84" t="n"/>
      <c r="C69" s="84" t="n"/>
      <c r="D69" s="84" t="n"/>
      <c r="E69" s="84" t="n"/>
      <c r="F69" s="84" t="n"/>
      <c r="G69" s="84" t="n"/>
      <c r="H69" s="84" t="n"/>
      <c r="I69" s="86">
        <f>IF(E69="","",IF(G69="",TODAY()-E69,G69-E69))</f>
        <v/>
      </c>
      <c r="J69" s="84" t="n"/>
    </row>
    <row r="70">
      <c r="A70" s="84" t="n"/>
      <c r="B70" s="84" t="n"/>
      <c r="C70" s="84" t="n"/>
      <c r="D70" s="84" t="n"/>
      <c r="E70" s="84" t="n"/>
      <c r="F70" s="84" t="n"/>
      <c r="G70" s="84" t="n"/>
      <c r="H70" s="84" t="n"/>
      <c r="I70" s="86">
        <f>IF(E70="","",IF(G70="",TODAY()-E70,G70-E70))</f>
        <v/>
      </c>
      <c r="J70" s="84" t="n"/>
    </row>
    <row r="71">
      <c r="A71" s="84" t="n"/>
      <c r="B71" s="84" t="n"/>
      <c r="C71" s="84" t="n"/>
      <c r="D71" s="84" t="n"/>
      <c r="E71" s="84" t="n"/>
      <c r="F71" s="84" t="n"/>
      <c r="G71" s="84" t="n"/>
      <c r="H71" s="84" t="n"/>
      <c r="I71" s="86">
        <f>IF(E71="","",IF(G71="",TODAY()-E71,G71-E71))</f>
        <v/>
      </c>
      <c r="J71" s="84" t="n"/>
    </row>
    <row r="72">
      <c r="A72" s="84" t="n"/>
      <c r="B72" s="84" t="n"/>
      <c r="C72" s="84" t="n"/>
      <c r="D72" s="84" t="n"/>
      <c r="E72" s="84" t="n"/>
      <c r="F72" s="84" t="n"/>
      <c r="G72" s="84" t="n"/>
      <c r="H72" s="84" t="n"/>
      <c r="I72" s="86">
        <f>IF(E72="","",IF(G72="",TODAY()-E72,G72-E72))</f>
        <v/>
      </c>
      <c r="J72" s="84" t="n"/>
    </row>
    <row r="73">
      <c r="A73" s="84" t="n"/>
      <c r="B73" s="84" t="n"/>
      <c r="C73" s="84" t="n"/>
      <c r="D73" s="84" t="n"/>
      <c r="E73" s="84" t="n"/>
      <c r="F73" s="84" t="n"/>
      <c r="G73" s="84" t="n"/>
      <c r="H73" s="84" t="n"/>
      <c r="I73" s="86">
        <f>IF(E73="","",IF(G73="",TODAY()-E73,G73-E73))</f>
        <v/>
      </c>
      <c r="J73" s="84" t="n"/>
    </row>
    <row r="74">
      <c r="A74" s="84" t="n"/>
      <c r="B74" s="84" t="n"/>
      <c r="C74" s="84" t="n"/>
      <c r="D74" s="84" t="n"/>
      <c r="E74" s="84" t="n"/>
      <c r="F74" s="84" t="n"/>
      <c r="G74" s="84" t="n"/>
      <c r="H74" s="84" t="n"/>
      <c r="I74" s="86">
        <f>IF(E74="","",IF(G74="",TODAY()-E74,G74-E74))</f>
        <v/>
      </c>
      <c r="J74" s="84" t="n"/>
    </row>
    <row r="75">
      <c r="A75" s="84" t="n"/>
      <c r="B75" s="84" t="n"/>
      <c r="C75" s="84" t="n"/>
      <c r="D75" s="84" t="n"/>
      <c r="E75" s="84" t="n"/>
      <c r="F75" s="84" t="n"/>
      <c r="G75" s="84" t="n"/>
      <c r="H75" s="84" t="n"/>
      <c r="I75" s="86">
        <f>IF(E75="","",IF(G75="",TODAY()-E75,G75-E75))</f>
        <v/>
      </c>
      <c r="J75" s="84" t="n"/>
    </row>
    <row r="76">
      <c r="A76" s="84" t="n"/>
      <c r="B76" s="84" t="n"/>
      <c r="C76" s="84" t="n"/>
      <c r="D76" s="84" t="n"/>
      <c r="E76" s="84" t="n"/>
      <c r="F76" s="84" t="n"/>
      <c r="G76" s="84" t="n"/>
      <c r="H76" s="84" t="n"/>
      <c r="I76" s="86">
        <f>IF(E76="","",IF(G76="",TODAY()-E76,G76-E76))</f>
        <v/>
      </c>
      <c r="J76" s="84" t="n"/>
    </row>
    <row r="77">
      <c r="A77" s="84" t="n"/>
      <c r="B77" s="84" t="n"/>
      <c r="C77" s="84" t="n"/>
      <c r="D77" s="84" t="n"/>
      <c r="E77" s="84" t="n"/>
      <c r="F77" s="84" t="n"/>
      <c r="G77" s="84" t="n"/>
      <c r="H77" s="84" t="n"/>
      <c r="I77" s="86">
        <f>IF(E77="","",IF(G77="",TODAY()-E77,G77-E77))</f>
        <v/>
      </c>
      <c r="J77" s="84" t="n"/>
    </row>
    <row r="78">
      <c r="A78" s="84" t="n"/>
      <c r="B78" s="84" t="n"/>
      <c r="C78" s="84" t="n"/>
      <c r="D78" s="84" t="n"/>
      <c r="E78" s="84" t="n"/>
      <c r="F78" s="84" t="n"/>
      <c r="G78" s="84" t="n"/>
      <c r="H78" s="84" t="n"/>
      <c r="I78" s="86">
        <f>IF(E78="","",IF(G78="",TODAY()-E78,G78-E78))</f>
        <v/>
      </c>
      <c r="J78" s="84" t="n"/>
    </row>
    <row r="79">
      <c r="A79" s="84" t="n"/>
      <c r="B79" s="84" t="n"/>
      <c r="C79" s="84" t="n"/>
      <c r="D79" s="84" t="n"/>
      <c r="E79" s="84" t="n"/>
      <c r="F79" s="84" t="n"/>
      <c r="G79" s="84" t="n"/>
      <c r="H79" s="84" t="n"/>
      <c r="I79" s="86">
        <f>IF(E79="","",IF(G79="",TODAY()-E79,G79-E79))</f>
        <v/>
      </c>
      <c r="J79" s="84" t="n"/>
    </row>
    <row r="80">
      <c r="A80" s="84" t="n"/>
      <c r="B80" s="84" t="n"/>
      <c r="C80" s="84" t="n"/>
      <c r="D80" s="84" t="n"/>
      <c r="E80" s="84" t="n"/>
      <c r="F80" s="84" t="n"/>
      <c r="G80" s="84" t="n"/>
      <c r="H80" s="84" t="n"/>
      <c r="I80" s="86">
        <f>IF(E80="","",IF(G80="",TODAY()-E80,G80-E80))</f>
        <v/>
      </c>
      <c r="J80" s="84"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(TI)</t>
        </is>
      </c>
    </row>
    <row r="2" ht="18" customHeight="1">
      <c r="A2" s="2" t="inlineStr">
        <is>
          <t>Extrato do financeiro, centro de custo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46" t="inlineStr">
        <is>
          <t>Credor</t>
        </is>
      </c>
      <c r="B4" s="46" t="inlineStr">
        <is>
          <t>Centro de Custo</t>
        </is>
      </c>
      <c r="C4" s="46" t="inlineStr">
        <is>
          <t>Nº lanç.</t>
        </is>
      </c>
      <c r="D4" s="46" t="inlineStr">
        <is>
          <t>Jan/26</t>
        </is>
      </c>
      <c r="E4" s="46" t="inlineStr">
        <is>
          <t>Fev/26</t>
        </is>
      </c>
      <c r="F4" s="46" t="inlineStr">
        <is>
          <t>Mar/26</t>
        </is>
      </c>
      <c r="G4" s="46" t="inlineStr">
        <is>
          <t>Abr/26</t>
        </is>
      </c>
      <c r="H4" s="46" t="inlineStr">
        <is>
          <t>Mai/26</t>
        </is>
      </c>
      <c r="I4" s="46" t="inlineStr">
        <is>
          <t>Jun/26</t>
        </is>
      </c>
      <c r="J4" s="46" t="inlineStr">
        <is>
          <t>Jul/26</t>
        </is>
      </c>
      <c r="K4" s="46" t="inlineStr">
        <is>
          <t>TOTAL</t>
        </is>
      </c>
      <c r="L4" s="46" t="inlineStr">
        <is>
          <t>Já está no orçamento?</t>
        </is>
      </c>
    </row>
    <row r="5" ht="22" customHeight="1">
      <c r="A5" s="87" t="inlineStr">
        <is>
          <t>J H ALVES - MONITOR REMOTO</t>
        </is>
      </c>
      <c r="B5" s="87" t="inlineStr">
        <is>
          <t>T.I</t>
        </is>
      </c>
      <c r="C5" s="88" t="n">
        <v>4</v>
      </c>
      <c r="D5" s="89" t="n">
        <v>4311.56</v>
      </c>
      <c r="E5" s="89" t="n"/>
      <c r="F5" s="89" t="n"/>
      <c r="G5" s="89" t="n"/>
      <c r="H5" s="89" t="n">
        <v>3723.62</v>
      </c>
      <c r="I5" s="89" t="n">
        <v>6173.37</v>
      </c>
      <c r="J5" s="89" t="n">
        <v>6300</v>
      </c>
      <c r="K5" s="90" t="n">
        <v>20508.55</v>
      </c>
      <c r="L5" s="91" t="inlineStr">
        <is>
          <t>TI-E03 Jonathan (Monitor Remoto)</t>
        </is>
      </c>
    </row>
    <row r="6" ht="22" customHeight="1">
      <c r="A6" s="87" t="inlineStr">
        <is>
          <t>VINICIUS DI FRANCO HEITOR</t>
        </is>
      </c>
      <c r="B6" s="87" t="inlineStr">
        <is>
          <t>T.I</t>
        </is>
      </c>
      <c r="C6" s="88" t="n">
        <v>23</v>
      </c>
      <c r="D6" s="89" t="n">
        <v>2670.84</v>
      </c>
      <c r="E6" s="89" t="n">
        <v>2986.04</v>
      </c>
      <c r="F6" s="89" t="n">
        <v>2778.04</v>
      </c>
      <c r="G6" s="89" t="n">
        <v>2751.04</v>
      </c>
      <c r="H6" s="89" t="n">
        <v>2719.04</v>
      </c>
      <c r="I6" s="89" t="n">
        <v>3633.16</v>
      </c>
      <c r="J6" s="89" t="n">
        <v>2461.04</v>
      </c>
      <c r="K6" s="90" t="n">
        <v>19999.2</v>
      </c>
      <c r="L6" s="91" t="inlineStr">
        <is>
          <t>TI-E01 Vinicius Di Franco</t>
        </is>
      </c>
    </row>
    <row r="7" ht="22" customHeight="1">
      <c r="A7" s="87" t="inlineStr">
        <is>
          <t>OPENAI BRAZIL LIMITADA</t>
        </is>
      </c>
      <c r="B7" s="87" t="inlineStr">
        <is>
          <t>T.I</t>
        </is>
      </c>
      <c r="C7" s="88" t="n">
        <v>4</v>
      </c>
      <c r="D7" s="89" t="n"/>
      <c r="E7" s="89" t="n">
        <v>234.46</v>
      </c>
      <c r="F7" s="89" t="n">
        <v>321.76</v>
      </c>
      <c r="G7" s="89" t="n">
        <v>5393.88</v>
      </c>
      <c r="H7" s="89" t="n"/>
      <c r="I7" s="89" t="n"/>
      <c r="J7" s="89" t="n"/>
      <c r="K7" s="90" t="n">
        <v>5950.1</v>
      </c>
      <c r="L7" s="91" t="inlineStr">
        <is>
          <t>TI-D11 GPT</t>
        </is>
      </c>
    </row>
    <row r="8" ht="22" customHeight="1">
      <c r="A8" s="56" t="inlineStr">
        <is>
          <t>CLARO S.A.</t>
        </is>
      </c>
      <c r="B8" s="56" t="inlineStr">
        <is>
          <t>T.I</t>
        </is>
      </c>
      <c r="C8" s="53" t="n">
        <v>19</v>
      </c>
      <c r="D8" s="54" t="n">
        <v>922.1099999999999</v>
      </c>
      <c r="E8" s="54" t="n"/>
      <c r="F8" s="54" t="n">
        <v>899.5799999999999</v>
      </c>
      <c r="G8" s="54" t="n">
        <v>721.9400000000001</v>
      </c>
      <c r="H8" s="54" t="n">
        <v>965.1099999999999</v>
      </c>
      <c r="I8" s="54" t="n">
        <v>740</v>
      </c>
      <c r="J8" s="54" t="n">
        <v>979.4</v>
      </c>
      <c r="K8" s="92" t="n">
        <v>5228.139999999999</v>
      </c>
      <c r="L8" s="93" t="n"/>
    </row>
    <row r="9" ht="22" customHeight="1">
      <c r="A9" s="56" t="inlineStr">
        <is>
          <t>LOCAWEB SERVICOS DE INTERNET S/A</t>
        </is>
      </c>
      <c r="B9" s="56" t="inlineStr">
        <is>
          <t>T.I</t>
        </is>
      </c>
      <c r="C9" s="53" t="n">
        <v>8</v>
      </c>
      <c r="D9" s="54" t="n">
        <v>924.2800000000001</v>
      </c>
      <c r="E9" s="54" t="n">
        <v>99.25</v>
      </c>
      <c r="F9" s="54" t="n"/>
      <c r="G9" s="54" t="n">
        <v>1046.52</v>
      </c>
      <c r="H9" s="54" t="n">
        <v>74.81</v>
      </c>
      <c r="I9" s="54" t="n"/>
      <c r="J9" s="54" t="n">
        <v>1151.26</v>
      </c>
      <c r="K9" s="92" t="n">
        <v>3296.12</v>
      </c>
      <c r="L9" s="93" t="n"/>
    </row>
    <row r="10" ht="22" customHeight="1">
      <c r="A10" s="56" t="inlineStr">
        <is>
          <t>SABHA INTELIGENCIA EM TECNOLOGIA LTDA</t>
        </is>
      </c>
      <c r="B10" s="56" t="inlineStr">
        <is>
          <t>T.I</t>
        </is>
      </c>
      <c r="C10" s="53" t="n">
        <v>4</v>
      </c>
      <c r="D10" s="54" t="n">
        <v>723.75</v>
      </c>
      <c r="E10" s="54" t="n"/>
      <c r="F10" s="54" t="n"/>
      <c r="G10" s="54" t="n"/>
      <c r="H10" s="54" t="n">
        <v>741.1</v>
      </c>
      <c r="I10" s="54" t="n">
        <v>740.38</v>
      </c>
      <c r="J10" s="54" t="n">
        <v>1037.38</v>
      </c>
      <c r="K10" s="92" t="n">
        <v>3242.61</v>
      </c>
      <c r="L10" s="93" t="n"/>
    </row>
    <row r="11" ht="22" customHeight="1">
      <c r="A11" s="87" t="inlineStr">
        <is>
          <t>Vale Alimentação Vinicius</t>
        </is>
      </c>
      <c r="B11" s="87" t="inlineStr">
        <is>
          <t>T.I</t>
        </is>
      </c>
      <c r="C11" s="88" t="n">
        <v>6</v>
      </c>
      <c r="D11" s="89" t="n"/>
      <c r="E11" s="89" t="n">
        <v>485</v>
      </c>
      <c r="F11" s="89" t="n">
        <v>485</v>
      </c>
      <c r="G11" s="89" t="n">
        <v>485</v>
      </c>
      <c r="H11" s="89" t="n">
        <v>485</v>
      </c>
      <c r="I11" s="89" t="n">
        <v>485</v>
      </c>
      <c r="J11" s="89" t="n">
        <v>485</v>
      </c>
      <c r="K11" s="90" t="n">
        <v>2910</v>
      </c>
      <c r="L11" s="91" t="inlineStr">
        <is>
          <t>TI-E01 Vinicius (benefício)</t>
        </is>
      </c>
    </row>
    <row r="12" ht="22" customHeight="1">
      <c r="A12" s="56" t="inlineStr">
        <is>
          <t>TIM S A</t>
        </is>
      </c>
      <c r="B12" s="56" t="inlineStr">
        <is>
          <t>T.I</t>
        </is>
      </c>
      <c r="C12" s="53" t="n">
        <v>3</v>
      </c>
      <c r="D12" s="54" t="n">
        <v>331.42</v>
      </c>
      <c r="E12" s="54" t="n">
        <v>338.5</v>
      </c>
      <c r="F12" s="54" t="n">
        <v>284.63</v>
      </c>
      <c r="G12" s="54" t="n"/>
      <c r="H12" s="54" t="n"/>
      <c r="I12" s="54" t="n"/>
      <c r="J12" s="54" t="n"/>
      <c r="K12" s="92" t="n">
        <v>954.5500000000001</v>
      </c>
      <c r="L12" s="93" t="n"/>
    </row>
    <row r="13" ht="22" customHeight="1">
      <c r="A13" s="56" t="inlineStr">
        <is>
          <t>VC1 SOLUCOES EM TECNOLOGIA EIRELI</t>
        </is>
      </c>
      <c r="B13" s="56" t="inlineStr">
        <is>
          <t>T.I</t>
        </is>
      </c>
      <c r="C13" s="53" t="n">
        <v>6</v>
      </c>
      <c r="D13" s="54" t="n"/>
      <c r="E13" s="54" t="n">
        <v>275.84</v>
      </c>
      <c r="F13" s="54" t="n">
        <v>137.9</v>
      </c>
      <c r="G13" s="54" t="n">
        <v>137.9</v>
      </c>
      <c r="H13" s="54" t="n">
        <v>137.92</v>
      </c>
      <c r="I13" s="54" t="n">
        <v>137.93</v>
      </c>
      <c r="J13" s="54" t="n"/>
      <c r="K13" s="92" t="n">
        <v>827.49</v>
      </c>
      <c r="L13" s="93" t="n"/>
    </row>
    <row r="14" ht="22" customHeight="1">
      <c r="A14" s="56" t="inlineStr">
        <is>
          <t>TELEFONICA BRASIL S.A.</t>
        </is>
      </c>
      <c r="B14" s="56" t="inlineStr">
        <is>
          <t>T.I</t>
        </is>
      </c>
      <c r="C14" s="53" t="n">
        <v>7</v>
      </c>
      <c r="D14" s="54" t="n">
        <v>51.63</v>
      </c>
      <c r="E14" s="54" t="n">
        <v>102.32</v>
      </c>
      <c r="F14" s="54" t="n">
        <v>50</v>
      </c>
      <c r="G14" s="54" t="n"/>
      <c r="H14" s="54" t="n"/>
      <c r="I14" s="54" t="n">
        <v>554.58</v>
      </c>
      <c r="J14" s="54" t="n"/>
      <c r="K14" s="92" t="n">
        <v>758.53</v>
      </c>
      <c r="L14" s="93" t="n"/>
    </row>
    <row r="15" ht="22" customHeight="1">
      <c r="A15" s="56" t="inlineStr">
        <is>
          <t>WEB MOBILE TELECOM LTDA</t>
        </is>
      </c>
      <c r="B15" s="56" t="inlineStr">
        <is>
          <t>T.I</t>
        </is>
      </c>
      <c r="C15" s="53" t="n">
        <v>8</v>
      </c>
      <c r="D15" s="54" t="n">
        <v>82.5</v>
      </c>
      <c r="E15" s="54" t="n">
        <v>75</v>
      </c>
      <c r="F15" s="54" t="n">
        <v>225</v>
      </c>
      <c r="G15" s="54" t="n">
        <v>75</v>
      </c>
      <c r="H15" s="54" t="n">
        <v>75</v>
      </c>
      <c r="I15" s="54" t="n">
        <v>75</v>
      </c>
      <c r="J15" s="54" t="n">
        <v>82.5</v>
      </c>
      <c r="K15" s="92" t="n">
        <v>690</v>
      </c>
      <c r="L15" s="93" t="n"/>
    </row>
    <row r="16" ht="22" customHeight="1">
      <c r="A16" s="56" t="inlineStr">
        <is>
          <t>INTELBRAS S.A. INDUSTRIA DE TELECOMUNICACAO ELETRONICA BRASILEIRA</t>
        </is>
      </c>
      <c r="B16" s="56" t="inlineStr">
        <is>
          <t>T.I</t>
        </is>
      </c>
      <c r="C16" s="53" t="n">
        <v>7</v>
      </c>
      <c r="D16" s="54" t="n">
        <v>79.59999999999999</v>
      </c>
      <c r="E16" s="54" t="n"/>
      <c r="F16" s="54" t="n">
        <v>159.2</v>
      </c>
      <c r="G16" s="54" t="n">
        <v>79.59999999999999</v>
      </c>
      <c r="H16" s="54" t="n"/>
      <c r="I16" s="54" t="n">
        <v>164.42</v>
      </c>
      <c r="J16" s="54" t="n">
        <v>79.59999999999999</v>
      </c>
      <c r="K16" s="92" t="n">
        <v>562.42</v>
      </c>
      <c r="L16" s="93" t="n"/>
    </row>
    <row r="17" ht="22" customHeight="1">
      <c r="A17" s="56" t="inlineStr">
        <is>
          <t>ALFAMA PROCESSAMENTO DE DADOS LTDA</t>
        </is>
      </c>
      <c r="B17" s="56" t="inlineStr">
        <is>
          <t>T.I</t>
        </is>
      </c>
      <c r="C17" s="53" t="n">
        <v>1</v>
      </c>
      <c r="D17" s="54" t="n"/>
      <c r="E17" s="54" t="n"/>
      <c r="F17" s="54" t="n"/>
      <c r="G17" s="54" t="n"/>
      <c r="H17" s="54" t="n"/>
      <c r="I17" s="54" t="n">
        <v>183.6</v>
      </c>
      <c r="J17" s="54" t="n"/>
      <c r="K17" s="92" t="n">
        <v>183.6</v>
      </c>
      <c r="L17" s="93" t="n"/>
    </row>
    <row r="18">
      <c r="A18" s="51" t="inlineStr">
        <is>
          <t>TOTAL</t>
        </is>
      </c>
      <c r="B18" s="51" t="n"/>
      <c r="C18" s="51" t="n"/>
      <c r="D18" s="52">
        <f>SUM(D5:D17)</f>
        <v/>
      </c>
      <c r="E18" s="52">
        <f>SUM(E5:E17)</f>
        <v/>
      </c>
      <c r="F18" s="52">
        <f>SUM(F5:F17)</f>
        <v/>
      </c>
      <c r="G18" s="52">
        <f>SUM(G5:G17)</f>
        <v/>
      </c>
      <c r="H18" s="52">
        <f>SUM(H5:H17)</f>
        <v/>
      </c>
      <c r="I18" s="52">
        <f>SUM(I5:I17)</f>
        <v/>
      </c>
      <c r="J18" s="52">
        <f>SUM(J5:J17)</f>
        <v/>
      </c>
      <c r="K18" s="52">
        <f>SUM(K5:K17)</f>
        <v/>
      </c>
      <c r="L18" s="51" t="n"/>
    </row>
  </sheetData>
  <autoFilter ref="A4:L17"/>
  <mergeCells count="2">
    <mergeCell ref="A2:L2"/>
    <mergeCell ref="A1:L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(TI)</t>
        </is>
      </c>
    </row>
    <row r="2" ht="18" customHeight="1">
      <c r="A2" s="2" t="inlineStr">
        <is>
          <t>Um lançamento por linha, como veio do financeiro. Use o filtro do cabeçalho para conferir credor, empreendimento ou mês.</t>
        </is>
      </c>
    </row>
    <row r="4" ht="30" customHeight="1">
      <c r="A4" s="46" t="inlineStr">
        <is>
          <t>Mês</t>
        </is>
      </c>
      <c r="B4" s="46" t="inlineStr">
        <is>
          <t>Data de Pagamento</t>
        </is>
      </c>
      <c r="C4" s="46" t="inlineStr">
        <is>
          <t>Credor</t>
        </is>
      </c>
      <c r="D4" s="46" t="inlineStr">
        <is>
          <t>Documento</t>
        </is>
      </c>
      <c r="E4" s="46" t="inlineStr">
        <is>
          <t>Título</t>
        </is>
      </c>
      <c r="F4" s="46" t="inlineStr">
        <is>
          <t>Empreendimento</t>
        </is>
      </c>
      <c r="G4" s="46" t="inlineStr">
        <is>
          <t>Centro de Custo</t>
        </is>
      </c>
      <c r="H4" s="46" t="inlineStr">
        <is>
          <t>Valor Líquido</t>
        </is>
      </c>
    </row>
    <row r="5">
      <c r="A5" s="94" t="inlineStr">
        <is>
          <t>Jan/26</t>
        </is>
      </c>
      <c r="B5" s="94" t="inlineStr">
        <is>
          <t>09/01/2026</t>
        </is>
      </c>
      <c r="C5" s="94" t="inlineStr">
        <is>
          <t>CLARO S.A.</t>
        </is>
      </c>
      <c r="D5" s="94" t="inlineStr">
        <is>
          <t>FAT.11.25</t>
        </is>
      </c>
      <c r="E5" s="94" t="inlineStr">
        <is>
          <t>95941/1</t>
        </is>
      </c>
      <c r="F5" s="94" t="inlineStr">
        <is>
          <t>Tetus</t>
        </is>
      </c>
      <c r="G5" s="94" t="inlineStr">
        <is>
          <t>T.I</t>
        </is>
      </c>
      <c r="H5" s="95" t="n">
        <v>407.4</v>
      </c>
    </row>
    <row r="6">
      <c r="A6" s="94" t="inlineStr">
        <is>
          <t>Jan/26</t>
        </is>
      </c>
      <c r="B6" s="94" t="inlineStr">
        <is>
          <t>28/01/2026</t>
        </is>
      </c>
      <c r="C6" s="94" t="inlineStr">
        <is>
          <t>CLARO S.A.</t>
        </is>
      </c>
      <c r="D6" s="94" t="inlineStr">
        <is>
          <t>FAT.01.26</t>
        </is>
      </c>
      <c r="E6" s="94" t="inlineStr">
        <is>
          <t>97478/1</t>
        </is>
      </c>
      <c r="F6" s="94" t="inlineStr">
        <is>
          <t>Tetus</t>
        </is>
      </c>
      <c r="G6" s="94" t="inlineStr">
        <is>
          <t>T.I</t>
        </is>
      </c>
      <c r="H6" s="95" t="n">
        <v>390.95</v>
      </c>
    </row>
    <row r="7">
      <c r="A7" s="94" t="inlineStr">
        <is>
          <t>Jan/26</t>
        </is>
      </c>
      <c r="B7" s="94" t="inlineStr">
        <is>
          <t>28/01/2026</t>
        </is>
      </c>
      <c r="C7" s="94" t="inlineStr">
        <is>
          <t>CLARO S.A.</t>
        </is>
      </c>
      <c r="D7" s="94" t="inlineStr">
        <is>
          <t>FAT.184180933</t>
        </is>
      </c>
      <c r="E7" s="94" t="inlineStr">
        <is>
          <t>97480/1</t>
        </is>
      </c>
      <c r="F7" s="94" t="inlineStr">
        <is>
          <t>Tetus</t>
        </is>
      </c>
      <c r="G7" s="94" t="inlineStr">
        <is>
          <t>T.I</t>
        </is>
      </c>
      <c r="H7" s="95" t="n">
        <v>123.76</v>
      </c>
    </row>
    <row r="8">
      <c r="A8" s="94" t="inlineStr">
        <is>
          <t>Jan/26</t>
        </is>
      </c>
      <c r="B8" s="94" t="inlineStr">
        <is>
          <t>30/01/2026</t>
        </is>
      </c>
      <c r="C8" s="94" t="inlineStr">
        <is>
          <t>INTELBRAS S.A. INDUSTRIA DE TELECOMUNICACAO ELETRONICA BRASILEIRA</t>
        </is>
      </c>
      <c r="D8" s="94" t="inlineStr">
        <is>
          <t>NFS.347106</t>
        </is>
      </c>
      <c r="E8" s="94" t="inlineStr">
        <is>
          <t>96534/1</t>
        </is>
      </c>
      <c r="F8" s="94" t="inlineStr">
        <is>
          <t>Tetus</t>
        </is>
      </c>
      <c r="G8" s="94" t="inlineStr">
        <is>
          <t>T.I</t>
        </is>
      </c>
      <c r="H8" s="95" t="n">
        <v>79.59999999999999</v>
      </c>
    </row>
    <row r="9">
      <c r="A9" s="94" t="inlineStr">
        <is>
          <t>Jan/26</t>
        </is>
      </c>
      <c r="B9" s="94" t="inlineStr">
        <is>
          <t>19/01/2026</t>
        </is>
      </c>
      <c r="C9" s="94" t="inlineStr">
        <is>
          <t>J H ALVES - MONITOR REMOTO</t>
        </is>
      </c>
      <c r="D9" s="94" t="inlineStr">
        <is>
          <t>NFS.70</t>
        </is>
      </c>
      <c r="E9" s="94" t="inlineStr">
        <is>
          <t>96602/1</t>
        </is>
      </c>
      <c r="F9" s="94" t="inlineStr">
        <is>
          <t>Tetus</t>
        </is>
      </c>
      <c r="G9" s="94" t="inlineStr">
        <is>
          <t>T.I</t>
        </is>
      </c>
      <c r="H9" s="95" t="n">
        <v>4311.56</v>
      </c>
    </row>
    <row r="10">
      <c r="A10" s="94" t="inlineStr">
        <is>
          <t>Jan/26</t>
        </is>
      </c>
      <c r="B10" s="94" t="inlineStr">
        <is>
          <t>08/01/2026</t>
        </is>
      </c>
      <c r="C10" s="94" t="inlineStr">
        <is>
          <t>LOCAWEB SERVICOS DE INTERNET S/A</t>
        </is>
      </c>
      <c r="D10" s="94" t="inlineStr">
        <is>
          <t>AV.LIC EMAILS 01.25</t>
        </is>
      </c>
      <c r="E10" s="94" t="inlineStr">
        <is>
          <t>96014/1</t>
        </is>
      </c>
      <c r="F10" s="94" t="inlineStr">
        <is>
          <t>Tetus</t>
        </is>
      </c>
      <c r="G10" s="94" t="inlineStr">
        <is>
          <t>T.I</t>
        </is>
      </c>
      <c r="H10" s="95" t="n">
        <v>6.2</v>
      </c>
    </row>
    <row r="11">
      <c r="A11" s="94" t="inlineStr">
        <is>
          <t>Jan/26</t>
        </is>
      </c>
      <c r="B11" s="94" t="inlineStr">
        <is>
          <t>25/01/2026</t>
        </is>
      </c>
      <c r="C11" s="94" t="inlineStr">
        <is>
          <t>LOCAWEB SERVICOS DE INTERNET S/A</t>
        </is>
      </c>
      <c r="D11" s="94" t="inlineStr">
        <is>
          <t>BOL.13.01</t>
        </is>
      </c>
      <c r="E11" s="94" t="inlineStr">
        <is>
          <t>96623/1</t>
        </is>
      </c>
      <c r="F11" s="94" t="inlineStr">
        <is>
          <t>Tetus</t>
        </is>
      </c>
      <c r="G11" s="94" t="inlineStr">
        <is>
          <t>T.I</t>
        </is>
      </c>
      <c r="H11" s="95" t="n">
        <v>918.08</v>
      </c>
    </row>
    <row r="12">
      <c r="A12" s="94" t="inlineStr">
        <is>
          <t>Jan/26</t>
        </is>
      </c>
      <c r="B12" s="94" t="inlineStr">
        <is>
          <t>30/01/2026</t>
        </is>
      </c>
      <c r="C12" s="94" t="inlineStr">
        <is>
          <t>SABHA INTELIGENCIA EM TECNOLOGIA LTDA</t>
        </is>
      </c>
      <c r="D12" s="94" t="inlineStr">
        <is>
          <t>FAT.2682</t>
        </is>
      </c>
      <c r="E12" s="94" t="inlineStr">
        <is>
          <t>96458/1</t>
        </is>
      </c>
      <c r="F12" s="94" t="inlineStr">
        <is>
          <t>Tetus</t>
        </is>
      </c>
      <c r="G12" s="94" t="inlineStr">
        <is>
          <t>T.I</t>
        </is>
      </c>
      <c r="H12" s="95" t="n">
        <v>723.75</v>
      </c>
    </row>
    <row r="13">
      <c r="A13" s="94" t="inlineStr">
        <is>
          <t>Jan/26</t>
        </is>
      </c>
      <c r="B13" s="94" t="inlineStr">
        <is>
          <t>12/01/2026</t>
        </is>
      </c>
      <c r="C13" s="94" t="inlineStr">
        <is>
          <t>TELEFONICA BRASIL S.A.</t>
        </is>
      </c>
      <c r="D13" s="94" t="inlineStr">
        <is>
          <t>FAT.2011241340</t>
        </is>
      </c>
      <c r="E13" s="94" t="inlineStr">
        <is>
          <t>96088/1</t>
        </is>
      </c>
      <c r="F13" s="94" t="inlineStr">
        <is>
          <t>Tetus</t>
        </is>
      </c>
      <c r="G13" s="94" t="inlineStr">
        <is>
          <t>T.I</t>
        </is>
      </c>
      <c r="H13" s="95" t="n">
        <v>51.63</v>
      </c>
    </row>
    <row r="14">
      <c r="A14" s="94" t="inlineStr">
        <is>
          <t>Jan/26</t>
        </is>
      </c>
      <c r="B14" s="94" t="inlineStr">
        <is>
          <t>22/01/2026</t>
        </is>
      </c>
      <c r="C14" s="94" t="inlineStr">
        <is>
          <t>TIM S A</t>
        </is>
      </c>
      <c r="D14" s="94" t="inlineStr">
        <is>
          <t>FAT.5664047504</t>
        </is>
      </c>
      <c r="E14" s="94" t="inlineStr">
        <is>
          <t>96789/1</t>
        </is>
      </c>
      <c r="F14" s="94" t="inlineStr">
        <is>
          <t>Tetus</t>
        </is>
      </c>
      <c r="G14" s="94" t="inlineStr">
        <is>
          <t>T.I</t>
        </is>
      </c>
      <c r="H14" s="95" t="n">
        <v>331.42</v>
      </c>
    </row>
    <row r="15">
      <c r="A15" s="94" t="inlineStr">
        <is>
          <t>Jan/26</t>
        </is>
      </c>
      <c r="B15" s="94" t="inlineStr">
        <is>
          <t>26/01/2026</t>
        </is>
      </c>
      <c r="C15" s="94" t="inlineStr">
        <is>
          <t>VINICIUS DI FRANCO HEITOR</t>
        </is>
      </c>
      <c r="D15" s="94" t="inlineStr">
        <is>
          <t>CX.16.01.26</t>
        </is>
      </c>
      <c r="E15" s="94" t="inlineStr">
        <is>
          <t>97067/1</t>
        </is>
      </c>
      <c r="F15" s="94" t="inlineStr">
        <is>
          <t>Tetus</t>
        </is>
      </c>
      <c r="G15" s="94" t="inlineStr">
        <is>
          <t>T.I</t>
        </is>
      </c>
      <c r="H15" s="95" t="n">
        <v>39.84</v>
      </c>
    </row>
    <row r="16">
      <c r="A16" s="94" t="inlineStr">
        <is>
          <t>Jan/26</t>
        </is>
      </c>
      <c r="B16" s="94" t="inlineStr">
        <is>
          <t>07/01/2026</t>
        </is>
      </c>
      <c r="C16" s="94" t="inlineStr">
        <is>
          <t>VINICIUS DI FRANCO HEITOR</t>
        </is>
      </c>
      <c r="D16" s="94" t="inlineStr">
        <is>
          <t>SAL.Sal_122025</t>
        </is>
      </c>
      <c r="E16" s="94" t="inlineStr">
        <is>
          <t>96252/1</t>
        </is>
      </c>
      <c r="F16" s="94" t="inlineStr">
        <is>
          <t>Tetus</t>
        </is>
      </c>
      <c r="G16" s="94" t="inlineStr">
        <is>
          <t>T.I</t>
        </is>
      </c>
      <c r="H16" s="95" t="n">
        <v>1602</v>
      </c>
    </row>
    <row r="17">
      <c r="A17" s="94" t="inlineStr">
        <is>
          <t>Jan/26</t>
        </is>
      </c>
      <c r="B17" s="94" t="inlineStr">
        <is>
          <t>20/01/2026</t>
        </is>
      </c>
      <c r="C17" s="94" t="inlineStr">
        <is>
          <t>VINICIUS DI FRANCO HEITOR</t>
        </is>
      </c>
      <c r="D17" s="94" t="inlineStr">
        <is>
          <t>SAL.VALE_ 012026</t>
        </is>
      </c>
      <c r="E17" s="94" t="inlineStr">
        <is>
          <t>97269/1</t>
        </is>
      </c>
      <c r="F17" s="94" t="inlineStr">
        <is>
          <t>Tetus</t>
        </is>
      </c>
      <c r="G17" s="94" t="inlineStr">
        <is>
          <t>T.I</t>
        </is>
      </c>
      <c r="H17" s="95" t="n">
        <v>1029</v>
      </c>
    </row>
    <row r="18">
      <c r="A18" s="94" t="inlineStr">
        <is>
          <t>Jan/26</t>
        </is>
      </c>
      <c r="B18" s="94" t="inlineStr">
        <is>
          <t>27/01/2026</t>
        </is>
      </c>
      <c r="C18" s="94" t="inlineStr">
        <is>
          <t>WEB MOBILE TELECOM LTDA</t>
        </is>
      </c>
      <c r="D18" s="94" t="inlineStr">
        <is>
          <t>BOL.1</t>
        </is>
      </c>
      <c r="E18" s="94" t="inlineStr">
        <is>
          <t>97204/1</t>
        </is>
      </c>
      <c r="F18" s="94" t="inlineStr">
        <is>
          <t>Tetus</t>
        </is>
      </c>
      <c r="G18" s="94" t="inlineStr">
        <is>
          <t>T.I</t>
        </is>
      </c>
      <c r="H18" s="95" t="n">
        <v>82.5</v>
      </c>
    </row>
    <row r="19">
      <c r="A19" s="94" t="inlineStr">
        <is>
          <t>Fev/26</t>
        </is>
      </c>
      <c r="B19" s="94" t="inlineStr">
        <is>
          <t>04/02/2026</t>
        </is>
      </c>
      <c r="C19" s="94" t="inlineStr">
        <is>
          <t>LOCAWEB SERVICOS DE INTERNET S/A</t>
        </is>
      </c>
      <c r="D19" s="94" t="inlineStr">
        <is>
          <t>AV.04.02.26</t>
        </is>
      </c>
      <c r="E19" s="94" t="inlineStr">
        <is>
          <t>98500/1</t>
        </is>
      </c>
      <c r="F19" s="94" t="inlineStr">
        <is>
          <t>Tetus</t>
        </is>
      </c>
      <c r="G19" s="94" t="inlineStr">
        <is>
          <t>T.I</t>
        </is>
      </c>
      <c r="H19" s="95" t="n">
        <v>26.67</v>
      </c>
    </row>
    <row r="20">
      <c r="A20" s="94" t="inlineStr">
        <is>
          <t>Fev/26</t>
        </is>
      </c>
      <c r="B20" s="94" t="inlineStr">
        <is>
          <t>15/02/2026</t>
        </is>
      </c>
      <c r="C20" s="94" t="inlineStr">
        <is>
          <t>LOCAWEB SERVICOS DE INTERNET S/A</t>
        </is>
      </c>
      <c r="D20" s="94" t="inlineStr">
        <is>
          <t>AV.12.02.26 LCW</t>
        </is>
      </c>
      <c r="E20" s="94" t="inlineStr">
        <is>
          <t>99336/1</t>
        </is>
      </c>
      <c r="F20" s="94" t="inlineStr">
        <is>
          <t>Tetus</t>
        </is>
      </c>
      <c r="G20" s="94" t="inlineStr">
        <is>
          <t>T.I</t>
        </is>
      </c>
      <c r="H20" s="95" t="n">
        <v>72.58</v>
      </c>
    </row>
    <row r="21">
      <c r="A21" s="94" t="inlineStr">
        <is>
          <t>Fev/26</t>
        </is>
      </c>
      <c r="B21" s="94" t="inlineStr">
        <is>
          <t>15/02/2026</t>
        </is>
      </c>
      <c r="C21" s="94" t="inlineStr">
        <is>
          <t>OPENAI BRAZIL LIMITADA</t>
        </is>
      </c>
      <c r="D21" s="94" t="inlineStr">
        <is>
          <t>AV.CHATGPT JUR 2026</t>
        </is>
      </c>
      <c r="E21" s="94" t="inlineStr">
        <is>
          <t>95104/2</t>
        </is>
      </c>
      <c r="F21" s="94" t="inlineStr">
        <is>
          <t>Tetus</t>
        </is>
      </c>
      <c r="G21" s="94" t="inlineStr">
        <is>
          <t>T.I</t>
        </is>
      </c>
      <c r="H21" s="95" t="n">
        <v>234.46</v>
      </c>
    </row>
    <row r="22">
      <c r="A22" s="94" t="inlineStr">
        <is>
          <t>Fev/26</t>
        </is>
      </c>
      <c r="B22" s="94" t="inlineStr">
        <is>
          <t>24/02/2026</t>
        </is>
      </c>
      <c r="C22" s="94" t="inlineStr">
        <is>
          <t>TELEFONICA BRASIL S.A.</t>
        </is>
      </c>
      <c r="D22" s="94" t="inlineStr">
        <is>
          <t>FAT.3575377</t>
        </is>
      </c>
      <c r="E22" s="94" t="inlineStr">
        <is>
          <t>100172/1</t>
        </is>
      </c>
      <c r="F22" s="94" t="inlineStr">
        <is>
          <t>Tetus</t>
        </is>
      </c>
      <c r="G22" s="94" t="inlineStr">
        <is>
          <t>T.I</t>
        </is>
      </c>
      <c r="H22" s="95" t="n">
        <v>52.32</v>
      </c>
    </row>
    <row r="23">
      <c r="A23" s="94" t="inlineStr">
        <is>
          <t>Fev/26</t>
        </is>
      </c>
      <c r="B23" s="94" t="inlineStr">
        <is>
          <t>24/02/2026</t>
        </is>
      </c>
      <c r="C23" s="94" t="inlineStr">
        <is>
          <t>TELEFONICA BRASIL S.A.</t>
        </is>
      </c>
      <c r="D23" s="94" t="inlineStr">
        <is>
          <t>FAT.5290953</t>
        </is>
      </c>
      <c r="E23" s="94" t="inlineStr">
        <is>
          <t>100173/1</t>
        </is>
      </c>
      <c r="F23" s="94" t="inlineStr">
        <is>
          <t>Tetus</t>
        </is>
      </c>
      <c r="G23" s="94" t="inlineStr">
        <is>
          <t>T.I</t>
        </is>
      </c>
      <c r="H23" s="95" t="n">
        <v>50</v>
      </c>
    </row>
    <row r="24">
      <c r="A24" s="94" t="inlineStr">
        <is>
          <t>Fev/26</t>
        </is>
      </c>
      <c r="B24" s="94" t="inlineStr">
        <is>
          <t>27/02/2026</t>
        </is>
      </c>
      <c r="C24" s="94" t="inlineStr">
        <is>
          <t>TIM S A</t>
        </is>
      </c>
      <c r="D24" s="94" t="inlineStr">
        <is>
          <t>BOL.141</t>
        </is>
      </c>
      <c r="E24" s="94" t="inlineStr">
        <is>
          <t>99947/1</t>
        </is>
      </c>
      <c r="F24" s="94" t="inlineStr">
        <is>
          <t>Tetus</t>
        </is>
      </c>
      <c r="G24" s="94" t="inlineStr">
        <is>
          <t>T.I</t>
        </is>
      </c>
      <c r="H24" s="95" t="n">
        <v>338.5</v>
      </c>
    </row>
    <row r="25">
      <c r="A25" s="94" t="inlineStr">
        <is>
          <t>Fev/26</t>
        </is>
      </c>
      <c r="B25" s="94" t="inlineStr">
        <is>
          <t>13/02/2026</t>
        </is>
      </c>
      <c r="C25" s="94" t="inlineStr">
        <is>
          <t>VC1 SOLUCOES EM TECNOLOGIA EIRELI</t>
        </is>
      </c>
      <c r="D25" s="94" t="inlineStr">
        <is>
          <t>BOL.26449</t>
        </is>
      </c>
      <c r="E25" s="94" t="inlineStr">
        <is>
          <t>99484/1</t>
        </is>
      </c>
      <c r="F25" s="94" t="inlineStr">
        <is>
          <t>Tetus</t>
        </is>
      </c>
      <c r="G25" s="94" t="inlineStr">
        <is>
          <t>T.I</t>
        </is>
      </c>
      <c r="H25" s="95" t="n">
        <v>137.94</v>
      </c>
    </row>
    <row r="26">
      <c r="A26" s="94" t="inlineStr">
        <is>
          <t>Fev/26</t>
        </is>
      </c>
      <c r="B26" s="94" t="inlineStr">
        <is>
          <t>19/02/2026</t>
        </is>
      </c>
      <c r="C26" s="94" t="inlineStr">
        <is>
          <t>VC1 SOLUCOES EM TECNOLOGIA EIRELI</t>
        </is>
      </c>
      <c r="D26" s="94" t="inlineStr">
        <is>
          <t>BOL.27256</t>
        </is>
      </c>
      <c r="E26" s="94" t="inlineStr">
        <is>
          <t>99486/1</t>
        </is>
      </c>
      <c r="F26" s="94" t="inlineStr">
        <is>
          <t>Tetus</t>
        </is>
      </c>
      <c r="G26" s="94" t="inlineStr">
        <is>
          <t>T.I</t>
        </is>
      </c>
      <c r="H26" s="95" t="n">
        <v>137.9</v>
      </c>
    </row>
    <row r="27">
      <c r="A27" s="94" t="inlineStr">
        <is>
          <t>Fev/26</t>
        </is>
      </c>
      <c r="B27" s="94" t="inlineStr">
        <is>
          <t>06/02/2026</t>
        </is>
      </c>
      <c r="C27" s="94" t="inlineStr">
        <is>
          <t>VINICIUS DI FRANCO HEITOR</t>
        </is>
      </c>
      <c r="D27" s="94" t="inlineStr">
        <is>
          <t>SAL.SAL JANEIRO 2026</t>
        </is>
      </c>
      <c r="E27" s="94" t="inlineStr">
        <is>
          <t>98811/1</t>
        </is>
      </c>
      <c r="F27" s="94" t="inlineStr">
        <is>
          <t>Tetus</t>
        </is>
      </c>
      <c r="G27" s="94" t="inlineStr">
        <is>
          <t>T.I</t>
        </is>
      </c>
      <c r="H27" s="95" t="n">
        <v>1750</v>
      </c>
    </row>
    <row r="28">
      <c r="A28" s="94" t="inlineStr">
        <is>
          <t>Fev/26</t>
        </is>
      </c>
      <c r="B28" s="94" t="inlineStr">
        <is>
          <t>20/02/2026</t>
        </is>
      </c>
      <c r="C28" s="94" t="inlineStr">
        <is>
          <t>VINICIUS DI FRANCO HEITOR</t>
        </is>
      </c>
      <c r="D28" s="94" t="inlineStr">
        <is>
          <t>SAL.VALE FEVEREIRO 26</t>
        </is>
      </c>
      <c r="E28" s="94" t="inlineStr">
        <is>
          <t>99890/1</t>
        </is>
      </c>
      <c r="F28" s="94" t="inlineStr">
        <is>
          <t>Tetus</t>
        </is>
      </c>
      <c r="G28" s="94" t="inlineStr">
        <is>
          <t>T.I</t>
        </is>
      </c>
      <c r="H28" s="95" t="n">
        <v>1029</v>
      </c>
    </row>
    <row r="29">
      <c r="A29" s="94" t="inlineStr">
        <is>
          <t>Fev/26</t>
        </is>
      </c>
      <c r="B29" s="94" t="inlineStr">
        <is>
          <t>2026-02-20 00:00:00</t>
        </is>
      </c>
      <c r="C29" s="94" t="inlineStr">
        <is>
          <t>VINICIUS DI FRANCO HEITOR</t>
        </is>
      </c>
      <c r="D29" s="94" t="inlineStr">
        <is>
          <t>FGTS/INSS</t>
        </is>
      </c>
      <c r="E29" s="94" t="inlineStr">
        <is>
          <t>113754/2</t>
        </is>
      </c>
      <c r="F29" s="94" t="inlineStr">
        <is>
          <t>Tetus</t>
        </is>
      </c>
      <c r="G29" s="94" t="inlineStr">
        <is>
          <t>T.I</t>
        </is>
      </c>
      <c r="H29" s="95" t="n">
        <v>207.04</v>
      </c>
    </row>
    <row r="30">
      <c r="A30" s="94" t="inlineStr">
        <is>
          <t>Fev/26</t>
        </is>
      </c>
      <c r="B30" s="94" t="inlineStr">
        <is>
          <t>2026-02-01 00:00:00</t>
        </is>
      </c>
      <c r="C30" s="94" t="inlineStr">
        <is>
          <t>Vale Alimentação Vinicius</t>
        </is>
      </c>
      <c r="D30" s="94" t="inlineStr"/>
      <c r="E30" s="94" t="inlineStr"/>
      <c r="F30" s="94" t="inlineStr">
        <is>
          <t>Tetus</t>
        </is>
      </c>
      <c r="G30" s="94" t="inlineStr">
        <is>
          <t>T.I</t>
        </is>
      </c>
      <c r="H30" s="95" t="n">
        <v>485</v>
      </c>
    </row>
    <row r="31">
      <c r="A31" s="94" t="inlineStr">
        <is>
          <t>Fev/26</t>
        </is>
      </c>
      <c r="B31" s="94" t="inlineStr">
        <is>
          <t>27/02/2026</t>
        </is>
      </c>
      <c r="C31" s="94" t="inlineStr">
        <is>
          <t>WEB MOBILE TELECOM LTDA</t>
        </is>
      </c>
      <c r="D31" s="94" t="inlineStr">
        <is>
          <t>NFS.1430</t>
        </is>
      </c>
      <c r="E31" s="94" t="inlineStr">
        <is>
          <t>99956/1</t>
        </is>
      </c>
      <c r="F31" s="94" t="inlineStr">
        <is>
          <t>Tetus</t>
        </is>
      </c>
      <c r="G31" s="94" t="inlineStr">
        <is>
          <t>T.I</t>
        </is>
      </c>
      <c r="H31" s="95" t="n">
        <v>75</v>
      </c>
    </row>
    <row r="32">
      <c r="A32" s="94" t="inlineStr">
        <is>
          <t>Mar/26</t>
        </is>
      </c>
      <c r="B32" s="94" t="inlineStr">
        <is>
          <t>05/03/2026</t>
        </is>
      </c>
      <c r="C32" s="94" t="inlineStr">
        <is>
          <t>CLARO S.A.</t>
        </is>
      </c>
      <c r="D32" s="94" t="inlineStr">
        <is>
          <t>FAT.5042829</t>
        </is>
      </c>
      <c r="E32" s="94" t="inlineStr">
        <is>
          <t>100503/1</t>
        </is>
      </c>
      <c r="F32" s="94" t="inlineStr">
        <is>
          <t>Tetus</t>
        </is>
      </c>
      <c r="G32" s="94" t="inlineStr">
        <is>
          <t>T.I</t>
        </is>
      </c>
      <c r="H32" s="95" t="n">
        <v>87.69</v>
      </c>
    </row>
    <row r="33">
      <c r="A33" s="94" t="inlineStr">
        <is>
          <t>Mar/26</t>
        </is>
      </c>
      <c r="B33" s="94" t="inlineStr">
        <is>
          <t>05/03/2026</t>
        </is>
      </c>
      <c r="C33" s="94" t="inlineStr">
        <is>
          <t>CLARO S.A.</t>
        </is>
      </c>
      <c r="D33" s="94" t="inlineStr">
        <is>
          <t>FAT.5042827</t>
        </is>
      </c>
      <c r="E33" s="94" t="inlineStr">
        <is>
          <t>100504/1</t>
        </is>
      </c>
      <c r="F33" s="94" t="inlineStr">
        <is>
          <t>Tetus</t>
        </is>
      </c>
      <c r="G33" s="94" t="inlineStr">
        <is>
          <t>T.I</t>
        </is>
      </c>
      <c r="H33" s="95" t="n">
        <v>382.4</v>
      </c>
    </row>
    <row r="34">
      <c r="A34" s="94" t="inlineStr">
        <is>
          <t>Mar/26</t>
        </is>
      </c>
      <c r="B34" s="94" t="inlineStr">
        <is>
          <t>28/03/2026</t>
        </is>
      </c>
      <c r="C34" s="94" t="inlineStr">
        <is>
          <t>CLARO S.A.</t>
        </is>
      </c>
      <c r="D34" s="94" t="inlineStr">
        <is>
          <t>FAT.8910508</t>
        </is>
      </c>
      <c r="E34" s="94" t="inlineStr">
        <is>
          <t>102706/1</t>
        </is>
      </c>
      <c r="F34" s="94" t="inlineStr">
        <is>
          <t>Tetus</t>
        </is>
      </c>
      <c r="G34" s="94" t="inlineStr">
        <is>
          <t>T.I</t>
        </is>
      </c>
      <c r="H34" s="95" t="n">
        <v>429.49</v>
      </c>
    </row>
    <row r="35">
      <c r="A35" s="94" t="inlineStr">
        <is>
          <t>Mar/26</t>
        </is>
      </c>
      <c r="B35" s="94" t="inlineStr">
        <is>
          <t>02/03/2026</t>
        </is>
      </c>
      <c r="C35" s="94" t="inlineStr">
        <is>
          <t>INTELBRAS S.A. INDUSTRIA DE TELECOMUNICACAO ELETRONICA BRASILEIRA</t>
        </is>
      </c>
      <c r="D35" s="94" t="inlineStr">
        <is>
          <t>NFS.351653</t>
        </is>
      </c>
      <c r="E35" s="94" t="inlineStr">
        <is>
          <t>100083/1</t>
        </is>
      </c>
      <c r="F35" s="94" t="inlineStr">
        <is>
          <t>Tetus</t>
        </is>
      </c>
      <c r="G35" s="94" t="inlineStr">
        <is>
          <t>T.I</t>
        </is>
      </c>
      <c r="H35" s="95" t="n">
        <v>79.59999999999999</v>
      </c>
    </row>
    <row r="36">
      <c r="A36" s="94" t="inlineStr">
        <is>
          <t>Mar/26</t>
        </is>
      </c>
      <c r="B36" s="94" t="inlineStr">
        <is>
          <t>30/03/2026</t>
        </is>
      </c>
      <c r="C36" s="94" t="inlineStr">
        <is>
          <t>INTELBRAS S.A. INDUSTRIA DE TELECOMUNICACAO ELETRONICA BRASILEIRA</t>
        </is>
      </c>
      <c r="D36" s="94" t="inlineStr">
        <is>
          <t>NFS.359396</t>
        </is>
      </c>
      <c r="E36" s="94" t="inlineStr">
        <is>
          <t>102608/1</t>
        </is>
      </c>
      <c r="F36" s="94" t="inlineStr">
        <is>
          <t>Tetus</t>
        </is>
      </c>
      <c r="G36" s="94" t="inlineStr">
        <is>
          <t>T.I</t>
        </is>
      </c>
      <c r="H36" s="95" t="n">
        <v>79.59999999999999</v>
      </c>
    </row>
    <row r="37">
      <c r="A37" s="94" t="inlineStr">
        <is>
          <t>Mar/26</t>
        </is>
      </c>
      <c r="B37" s="94" t="inlineStr">
        <is>
          <t>01/03/2026</t>
        </is>
      </c>
      <c r="C37" s="94" t="inlineStr">
        <is>
          <t>OPENAI BRAZIL LIMITADA</t>
        </is>
      </c>
      <c r="D37" s="94" t="inlineStr">
        <is>
          <t>AV.CHATGPT JUR 2026</t>
        </is>
      </c>
      <c r="E37" s="94" t="inlineStr">
        <is>
          <t>95104/3</t>
        </is>
      </c>
      <c r="F37" s="94" t="inlineStr">
        <is>
          <t>Tetus</t>
        </is>
      </c>
      <c r="G37" s="94" t="inlineStr">
        <is>
          <t>T.I</t>
        </is>
      </c>
      <c r="H37" s="95" t="n">
        <v>111.38</v>
      </c>
    </row>
    <row r="38">
      <c r="A38" s="94" t="inlineStr">
        <is>
          <t>Mar/26</t>
        </is>
      </c>
      <c r="B38" s="94" t="inlineStr">
        <is>
          <t>31/03/2026</t>
        </is>
      </c>
      <c r="C38" s="94" t="inlineStr">
        <is>
          <t>OPENAI BRAZIL LIMITADA</t>
        </is>
      </c>
      <c r="D38" s="94" t="inlineStr">
        <is>
          <t>AV.CHATGPT JUR 2026</t>
        </is>
      </c>
      <c r="E38" s="94" t="inlineStr">
        <is>
          <t>95104/4</t>
        </is>
      </c>
      <c r="F38" s="94" t="inlineStr">
        <is>
          <t>Tetus</t>
        </is>
      </c>
      <c r="G38" s="94" t="inlineStr">
        <is>
          <t>T.I</t>
        </is>
      </c>
      <c r="H38" s="95" t="n">
        <v>210.38</v>
      </c>
    </row>
    <row r="39">
      <c r="A39" s="94" t="inlineStr">
        <is>
          <t>Mar/26</t>
        </is>
      </c>
      <c r="B39" s="94" t="inlineStr">
        <is>
          <t>24/03/2026</t>
        </is>
      </c>
      <c r="C39" s="94" t="inlineStr">
        <is>
          <t>TELEFONICA BRASIL S.A.</t>
        </is>
      </c>
      <c r="D39" s="94" t="inlineStr">
        <is>
          <t>FAT.2024588614</t>
        </is>
      </c>
      <c r="E39" s="94" t="inlineStr">
        <is>
          <t>102316/1</t>
        </is>
      </c>
      <c r="F39" s="94" t="inlineStr">
        <is>
          <t>Tetus</t>
        </is>
      </c>
      <c r="G39" s="94" t="inlineStr">
        <is>
          <t>T.I</t>
        </is>
      </c>
      <c r="H39" s="95" t="n">
        <v>50</v>
      </c>
    </row>
    <row r="40">
      <c r="A40" s="94" t="inlineStr">
        <is>
          <t>Mar/26</t>
        </is>
      </c>
      <c r="B40" s="94" t="inlineStr">
        <is>
          <t>20/03/2026</t>
        </is>
      </c>
      <c r="C40" s="94" t="inlineStr">
        <is>
          <t>TIM S A</t>
        </is>
      </c>
      <c r="D40" s="94" t="inlineStr">
        <is>
          <t>BOL.5708173302</t>
        </is>
      </c>
      <c r="E40" s="94" t="inlineStr">
        <is>
          <t>102057/1</t>
        </is>
      </c>
      <c r="F40" s="94" t="inlineStr">
        <is>
          <t>Tetus</t>
        </is>
      </c>
      <c r="G40" s="94" t="inlineStr">
        <is>
          <t>T.I</t>
        </is>
      </c>
      <c r="H40" s="95" t="n">
        <v>284.63</v>
      </c>
    </row>
    <row r="41">
      <c r="A41" s="94" t="inlineStr">
        <is>
          <t>Mar/26</t>
        </is>
      </c>
      <c r="B41" s="94" t="inlineStr">
        <is>
          <t>15/03/2026</t>
        </is>
      </c>
      <c r="C41" s="94" t="inlineStr">
        <is>
          <t>VC1 SOLUCOES EM TECNOLOGIA EIRELI</t>
        </is>
      </c>
      <c r="D41" s="94" t="inlineStr">
        <is>
          <t>BOL.28049</t>
        </is>
      </c>
      <c r="E41" s="94" t="inlineStr">
        <is>
          <t>100887/1</t>
        </is>
      </c>
      <c r="F41" s="94" t="inlineStr">
        <is>
          <t>Tetus</t>
        </is>
      </c>
      <c r="G41" s="94" t="inlineStr">
        <is>
          <t>T.I</t>
        </is>
      </c>
      <c r="H41" s="95" t="n">
        <v>137.9</v>
      </c>
    </row>
    <row r="42">
      <c r="A42" s="94" t="inlineStr">
        <is>
          <t>Mar/26</t>
        </is>
      </c>
      <c r="B42" s="94" t="inlineStr">
        <is>
          <t>06/03/2026</t>
        </is>
      </c>
      <c r="C42" s="94" t="inlineStr">
        <is>
          <t>VINICIUS DI FRANCO HEITOR</t>
        </is>
      </c>
      <c r="D42" s="94" t="inlineStr">
        <is>
          <t>SAL.SAL FEVEREIRO 26</t>
        </is>
      </c>
      <c r="E42" s="94" t="inlineStr">
        <is>
          <t>101276/1</t>
        </is>
      </c>
      <c r="F42" s="94" t="inlineStr">
        <is>
          <t>Tetus</t>
        </is>
      </c>
      <c r="G42" s="94" t="inlineStr">
        <is>
          <t>T.I</t>
        </is>
      </c>
      <c r="H42" s="95" t="n">
        <v>1542</v>
      </c>
    </row>
    <row r="43">
      <c r="A43" s="94" t="inlineStr">
        <is>
          <t>Mar/26</t>
        </is>
      </c>
      <c r="B43" s="94" t="inlineStr">
        <is>
          <t>20/03/2026</t>
        </is>
      </c>
      <c r="C43" s="94" t="inlineStr">
        <is>
          <t>VINICIUS DI FRANCO HEITOR</t>
        </is>
      </c>
      <c r="D43" s="94" t="inlineStr">
        <is>
          <t>SAL.VALE 032026</t>
        </is>
      </c>
      <c r="E43" s="94" t="inlineStr">
        <is>
          <t>102295/1</t>
        </is>
      </c>
      <c r="F43" s="94" t="inlineStr">
        <is>
          <t>Tetus</t>
        </is>
      </c>
      <c r="G43" s="94" t="inlineStr">
        <is>
          <t>T.I</t>
        </is>
      </c>
      <c r="H43" s="95" t="n">
        <v>1029</v>
      </c>
    </row>
    <row r="44">
      <c r="A44" s="94" t="inlineStr">
        <is>
          <t>Mar/26</t>
        </is>
      </c>
      <c r="B44" s="94" t="inlineStr">
        <is>
          <t>2026-03-20 00:00:00</t>
        </is>
      </c>
      <c r="C44" s="94" t="inlineStr">
        <is>
          <t>VINICIUS DI FRANCO HEITOR</t>
        </is>
      </c>
      <c r="D44" s="94" t="inlineStr">
        <is>
          <t>FGTS/INSS</t>
        </is>
      </c>
      <c r="E44" s="94" t="inlineStr">
        <is>
          <t>113754/3</t>
        </is>
      </c>
      <c r="F44" s="94" t="inlineStr">
        <is>
          <t>Tetus</t>
        </is>
      </c>
      <c r="G44" s="94" t="inlineStr">
        <is>
          <t>T.I</t>
        </is>
      </c>
      <c r="H44" s="95" t="n">
        <v>207.04</v>
      </c>
    </row>
    <row r="45">
      <c r="A45" s="94" t="inlineStr">
        <is>
          <t>Mar/26</t>
        </is>
      </c>
      <c r="B45" s="94" t="inlineStr">
        <is>
          <t>2026-03-01 00:00:00</t>
        </is>
      </c>
      <c r="C45" s="94" t="inlineStr">
        <is>
          <t>Vale Alimentação Vinicius</t>
        </is>
      </c>
      <c r="D45" s="94" t="inlineStr"/>
      <c r="E45" s="94" t="inlineStr"/>
      <c r="F45" s="94" t="inlineStr">
        <is>
          <t>Tetus</t>
        </is>
      </c>
      <c r="G45" s="94" t="inlineStr">
        <is>
          <t>T.I</t>
        </is>
      </c>
      <c r="H45" s="95" t="n">
        <v>485</v>
      </c>
    </row>
    <row r="46">
      <c r="A46" s="94" t="inlineStr">
        <is>
          <t>Mar/26</t>
        </is>
      </c>
      <c r="B46" s="94" t="inlineStr">
        <is>
          <t>25/03/2026</t>
        </is>
      </c>
      <c r="C46" s="94" t="inlineStr">
        <is>
          <t>WEB MOBILE TELECOM LTDA</t>
        </is>
      </c>
      <c r="D46" s="94" t="inlineStr">
        <is>
          <t>NFS.1500</t>
        </is>
      </c>
      <c r="E46" s="94" t="inlineStr">
        <is>
          <t>102432/1</t>
        </is>
      </c>
      <c r="F46" s="94" t="inlineStr">
        <is>
          <t>Tetus</t>
        </is>
      </c>
      <c r="G46" s="94" t="inlineStr">
        <is>
          <t>T.I</t>
        </is>
      </c>
      <c r="H46" s="95" t="n">
        <v>75</v>
      </c>
    </row>
    <row r="47">
      <c r="A47" s="94" t="inlineStr">
        <is>
          <t>Mar/26</t>
        </is>
      </c>
      <c r="B47" s="94" t="inlineStr">
        <is>
          <t>25/03/2026</t>
        </is>
      </c>
      <c r="C47" s="94" t="inlineStr">
        <is>
          <t>WEB MOBILE TELECOM LTDA</t>
        </is>
      </c>
      <c r="D47" s="94" t="inlineStr">
        <is>
          <t>NFS.1534</t>
        </is>
      </c>
      <c r="E47" s="94" t="inlineStr">
        <is>
          <t>102434/1</t>
        </is>
      </c>
      <c r="F47" s="94" t="inlineStr">
        <is>
          <t>Tetus</t>
        </is>
      </c>
      <c r="G47" s="94" t="inlineStr">
        <is>
          <t>T.I</t>
        </is>
      </c>
      <c r="H47" s="95" t="n">
        <v>150</v>
      </c>
    </row>
    <row r="48">
      <c r="A48" s="94" t="inlineStr">
        <is>
          <t>Abr/26</t>
        </is>
      </c>
      <c r="B48" s="94" t="inlineStr">
        <is>
          <t>29/04/2026</t>
        </is>
      </c>
      <c r="C48" s="94" t="inlineStr">
        <is>
          <t>CLARO S.A.</t>
        </is>
      </c>
      <c r="D48" s="94" t="inlineStr">
        <is>
          <t>FAT.8910315</t>
        </is>
      </c>
      <c r="E48" s="94" t="inlineStr">
        <is>
          <t>105607/1</t>
        </is>
      </c>
      <c r="F48" s="94" t="inlineStr">
        <is>
          <t>Tetus</t>
        </is>
      </c>
      <c r="G48" s="94" t="inlineStr">
        <is>
          <t>T.I</t>
        </is>
      </c>
      <c r="H48" s="95" t="n">
        <v>11.99</v>
      </c>
    </row>
    <row r="49">
      <c r="A49" s="94" t="inlineStr">
        <is>
          <t>Abr/26</t>
        </is>
      </c>
      <c r="B49" s="94" t="inlineStr">
        <is>
          <t>29/04/2026</t>
        </is>
      </c>
      <c r="C49" s="94" t="inlineStr">
        <is>
          <t>CLARO S.A.</t>
        </is>
      </c>
      <c r="D49" s="94" t="inlineStr">
        <is>
          <t>FAT.13443658</t>
        </is>
      </c>
      <c r="E49" s="94" t="inlineStr">
        <is>
          <t>105676/1</t>
        </is>
      </c>
      <c r="F49" s="94" t="inlineStr">
        <is>
          <t>Tetus</t>
        </is>
      </c>
      <c r="G49" s="94" t="inlineStr">
        <is>
          <t>T.I</t>
        </is>
      </c>
      <c r="H49" s="95" t="n">
        <v>557.63</v>
      </c>
    </row>
    <row r="50">
      <c r="A50" s="94" t="inlineStr">
        <is>
          <t>Abr/26</t>
        </is>
      </c>
      <c r="B50" s="94" t="inlineStr">
        <is>
          <t>29/04/2026</t>
        </is>
      </c>
      <c r="C50" s="94" t="inlineStr">
        <is>
          <t>CLARO S.A.</t>
        </is>
      </c>
      <c r="D50" s="94" t="inlineStr">
        <is>
          <t>FAT.13443664</t>
        </is>
      </c>
      <c r="E50" s="94" t="inlineStr">
        <is>
          <t>105677/1</t>
        </is>
      </c>
      <c r="F50" s="94" t="inlineStr">
        <is>
          <t>Tetus</t>
        </is>
      </c>
      <c r="G50" s="94" t="inlineStr">
        <is>
          <t>T.I</t>
        </is>
      </c>
      <c r="H50" s="95" t="n">
        <v>132.09</v>
      </c>
    </row>
    <row r="51">
      <c r="A51" s="94" t="inlineStr">
        <is>
          <t>Abr/26</t>
        </is>
      </c>
      <c r="B51" s="94" t="inlineStr">
        <is>
          <t>30/04/2026</t>
        </is>
      </c>
      <c r="C51" s="94" t="inlineStr">
        <is>
          <t>CLARO S.A.</t>
        </is>
      </c>
      <c r="D51" s="94" t="inlineStr">
        <is>
          <t>FAT.13443112</t>
        </is>
      </c>
      <c r="E51" s="94" t="inlineStr">
        <is>
          <t>105792/1</t>
        </is>
      </c>
      <c r="F51" s="94" t="inlineStr">
        <is>
          <t>Tetus</t>
        </is>
      </c>
      <c r="G51" s="94" t="inlineStr">
        <is>
          <t>T.I</t>
        </is>
      </c>
      <c r="H51" s="95" t="n">
        <v>20.23</v>
      </c>
    </row>
    <row r="52">
      <c r="A52" s="94" t="inlineStr">
        <is>
          <t>Abr/26</t>
        </is>
      </c>
      <c r="B52" s="94" t="inlineStr">
        <is>
          <t>30/04/2026</t>
        </is>
      </c>
      <c r="C52" s="94" t="inlineStr">
        <is>
          <t>INTELBRAS S.A. INDUSTRIA DE TELECOMUNICACAO ELETRONICA BRASILEIRA</t>
        </is>
      </c>
      <c r="D52" s="94" t="inlineStr">
        <is>
          <t>NFS.363799</t>
        </is>
      </c>
      <c r="E52" s="94" t="inlineStr">
        <is>
          <t>104634/1</t>
        </is>
      </c>
      <c r="F52" s="94" t="inlineStr">
        <is>
          <t>Tetus</t>
        </is>
      </c>
      <c r="G52" s="94" t="inlineStr">
        <is>
          <t>T.I</t>
        </is>
      </c>
      <c r="H52" s="95" t="n">
        <v>79.59999999999999</v>
      </c>
    </row>
    <row r="53">
      <c r="A53" s="94" t="inlineStr">
        <is>
          <t>Abr/26</t>
        </is>
      </c>
      <c r="B53" s="94" t="inlineStr">
        <is>
          <t>25/04/2026</t>
        </is>
      </c>
      <c r="C53" s="94" t="inlineStr">
        <is>
          <t>LOCAWEB SERVICOS DE INTERNET S/A</t>
        </is>
      </c>
      <c r="D53" s="94" t="inlineStr">
        <is>
          <t>BOL.04.26</t>
        </is>
      </c>
      <c r="E53" s="94" t="inlineStr">
        <is>
          <t>104820/1</t>
        </is>
      </c>
      <c r="F53" s="94" t="inlineStr">
        <is>
          <t>Tetus</t>
        </is>
      </c>
      <c r="G53" s="94" t="inlineStr">
        <is>
          <t>T.I</t>
        </is>
      </c>
      <c r="H53" s="95" t="n">
        <v>1024.76</v>
      </c>
    </row>
    <row r="54">
      <c r="A54" s="94" t="inlineStr">
        <is>
          <t>Abr/26</t>
        </is>
      </c>
      <c r="B54" s="94" t="inlineStr">
        <is>
          <t>30/04/2026</t>
        </is>
      </c>
      <c r="C54" s="94" t="inlineStr">
        <is>
          <t>LOCAWEB SERVICOS DE INTERNET S/A</t>
        </is>
      </c>
      <c r="D54" s="94" t="inlineStr">
        <is>
          <t>BOL.LOCAWEB 29.04.26</t>
        </is>
      </c>
      <c r="E54" s="94" t="inlineStr">
        <is>
          <t>106325/1</t>
        </is>
      </c>
      <c r="F54" s="94" t="inlineStr">
        <is>
          <t>Tetus</t>
        </is>
      </c>
      <c r="G54" s="94" t="inlineStr">
        <is>
          <t>T.I</t>
        </is>
      </c>
      <c r="H54" s="95" t="n">
        <v>21.76</v>
      </c>
    </row>
    <row r="55">
      <c r="A55" s="94" t="inlineStr">
        <is>
          <t>Abr/26</t>
        </is>
      </c>
      <c r="B55" s="94" t="inlineStr">
        <is>
          <t>15/04/2026</t>
        </is>
      </c>
      <c r="C55" s="94" t="inlineStr">
        <is>
          <t>OPENAI BRAZIL LIMITADA</t>
        </is>
      </c>
      <c r="D55" s="94" t="inlineStr">
        <is>
          <t>FAT.CHATGPT 3 LIC</t>
        </is>
      </c>
      <c r="E55" s="94" t="inlineStr">
        <is>
          <t>102137/1</t>
        </is>
      </c>
      <c r="F55" s="94" t="inlineStr">
        <is>
          <t>Tetus</t>
        </is>
      </c>
      <c r="G55" s="94" t="inlineStr">
        <is>
          <t>T.I</t>
        </is>
      </c>
      <c r="H55" s="95" t="n">
        <v>5393.88</v>
      </c>
    </row>
    <row r="56">
      <c r="A56" s="94" t="inlineStr">
        <is>
          <t>Abr/26</t>
        </is>
      </c>
      <c r="B56" s="94" t="inlineStr">
        <is>
          <t>15/04/2026</t>
        </is>
      </c>
      <c r="C56" s="94" t="inlineStr">
        <is>
          <t>VC1 SOLUCOES EM TECNOLOGIA EIRELI</t>
        </is>
      </c>
      <c r="D56" s="94" t="inlineStr">
        <is>
          <t>BOL.28855</t>
        </is>
      </c>
      <c r="E56" s="94" t="inlineStr">
        <is>
          <t>103694/1</t>
        </is>
      </c>
      <c r="F56" s="94" t="inlineStr">
        <is>
          <t>Tetus</t>
        </is>
      </c>
      <c r="G56" s="94" t="inlineStr">
        <is>
          <t>T.I</t>
        </is>
      </c>
      <c r="H56" s="95" t="n">
        <v>137.9</v>
      </c>
    </row>
    <row r="57">
      <c r="A57" s="94" t="inlineStr">
        <is>
          <t>Abr/26</t>
        </is>
      </c>
      <c r="B57" s="94" t="inlineStr">
        <is>
          <t>07/04/2026</t>
        </is>
      </c>
      <c r="C57" s="94" t="inlineStr">
        <is>
          <t>VINICIUS DI FRANCO HEITOR</t>
        </is>
      </c>
      <c r="D57" s="94" t="inlineStr">
        <is>
          <t>SAL.SAL 032026</t>
        </is>
      </c>
      <c r="E57" s="94" t="inlineStr">
        <is>
          <t>103924/1</t>
        </is>
      </c>
      <c r="F57" s="94" t="inlineStr">
        <is>
          <t>Tetus</t>
        </is>
      </c>
      <c r="G57" s="94" t="inlineStr">
        <is>
          <t>T.I</t>
        </is>
      </c>
      <c r="H57" s="95" t="n">
        <v>1515</v>
      </c>
    </row>
    <row r="58">
      <c r="A58" s="94" t="inlineStr">
        <is>
          <t>Abr/26</t>
        </is>
      </c>
      <c r="B58" s="94" t="inlineStr">
        <is>
          <t>20/04/2026</t>
        </is>
      </c>
      <c r="C58" s="94" t="inlineStr">
        <is>
          <t>VINICIUS DI FRANCO HEITOR</t>
        </is>
      </c>
      <c r="D58" s="94" t="inlineStr">
        <is>
          <t>SAL.vale 042026</t>
        </is>
      </c>
      <c r="E58" s="94" t="inlineStr">
        <is>
          <t>105055/1</t>
        </is>
      </c>
      <c r="F58" s="94" t="inlineStr">
        <is>
          <t>Tetus</t>
        </is>
      </c>
      <c r="G58" s="94" t="inlineStr">
        <is>
          <t>T.I</t>
        </is>
      </c>
      <c r="H58" s="95" t="n">
        <v>1029</v>
      </c>
    </row>
    <row r="59">
      <c r="A59" s="94" t="inlineStr">
        <is>
          <t>Abr/26</t>
        </is>
      </c>
      <c r="B59" s="94" t="inlineStr">
        <is>
          <t>2026-04-20 00:00:00</t>
        </is>
      </c>
      <c r="C59" s="94" t="inlineStr">
        <is>
          <t>VINICIUS DI FRANCO HEITOR</t>
        </is>
      </c>
      <c r="D59" s="94" t="inlineStr">
        <is>
          <t>FGTS/INSS</t>
        </is>
      </c>
      <c r="E59" s="94" t="inlineStr">
        <is>
          <t>113754/4</t>
        </is>
      </c>
      <c r="F59" s="94" t="inlineStr">
        <is>
          <t>Tetus</t>
        </is>
      </c>
      <c r="G59" s="94" t="inlineStr">
        <is>
          <t>T.I</t>
        </is>
      </c>
      <c r="H59" s="95" t="n">
        <v>207.04</v>
      </c>
    </row>
    <row r="60">
      <c r="A60" s="94" t="inlineStr">
        <is>
          <t>Abr/26</t>
        </is>
      </c>
      <c r="B60" s="94" t="inlineStr">
        <is>
          <t>2026-04-01 00:00:00</t>
        </is>
      </c>
      <c r="C60" s="94" t="inlineStr">
        <is>
          <t>Vale Alimentação Vinicius</t>
        </is>
      </c>
      <c r="D60" s="94" t="inlineStr"/>
      <c r="E60" s="94" t="inlineStr"/>
      <c r="F60" s="94" t="inlineStr">
        <is>
          <t>Tetus</t>
        </is>
      </c>
      <c r="G60" s="94" t="inlineStr">
        <is>
          <t>T.I</t>
        </is>
      </c>
      <c r="H60" s="95" t="n">
        <v>485</v>
      </c>
    </row>
    <row r="61">
      <c r="A61" s="94" t="inlineStr">
        <is>
          <t>Abr/26</t>
        </is>
      </c>
      <c r="B61" s="94" t="inlineStr">
        <is>
          <t>27/04/2026</t>
        </is>
      </c>
      <c r="C61" s="94" t="inlineStr">
        <is>
          <t>WEB MOBILE TELECOM LTDA</t>
        </is>
      </c>
      <c r="D61" s="94" t="inlineStr">
        <is>
          <t>NFS.1573</t>
        </is>
      </c>
      <c r="E61" s="94" t="inlineStr">
        <is>
          <t>105411/1</t>
        </is>
      </c>
      <c r="F61" s="94" t="inlineStr">
        <is>
          <t>Tetus</t>
        </is>
      </c>
      <c r="G61" s="94" t="inlineStr">
        <is>
          <t>T.I</t>
        </is>
      </c>
      <c r="H61" s="95" t="n">
        <v>75</v>
      </c>
    </row>
    <row r="62">
      <c r="A62" s="94" t="inlineStr">
        <is>
          <t>Mai/26</t>
        </is>
      </c>
      <c r="B62" s="94" t="inlineStr">
        <is>
          <t>18/05/2026</t>
        </is>
      </c>
      <c r="C62" s="94" t="inlineStr">
        <is>
          <t>CLARO S.A.</t>
        </is>
      </c>
      <c r="D62" s="94" t="inlineStr">
        <is>
          <t>FAT.2ªvia Claro Abril</t>
        </is>
      </c>
      <c r="E62" s="94" t="inlineStr">
        <is>
          <t>107340/1</t>
        </is>
      </c>
      <c r="F62" s="94" t="inlineStr">
        <is>
          <t>Tetus</t>
        </is>
      </c>
      <c r="G62" s="94" t="inlineStr">
        <is>
          <t>T.I</t>
        </is>
      </c>
      <c r="H62" s="95" t="n">
        <v>182.32</v>
      </c>
    </row>
    <row r="63">
      <c r="A63" s="94" t="inlineStr">
        <is>
          <t>Mai/26</t>
        </is>
      </c>
      <c r="B63" s="94" t="inlineStr">
        <is>
          <t>28/05/2026</t>
        </is>
      </c>
      <c r="C63" s="94" t="inlineStr">
        <is>
          <t>CLARO S.A.</t>
        </is>
      </c>
      <c r="D63" s="94" t="inlineStr">
        <is>
          <t>FAT.17483469</t>
        </is>
      </c>
      <c r="E63" s="94" t="inlineStr">
        <is>
          <t>108218/1</t>
        </is>
      </c>
      <c r="F63" s="94" t="inlineStr">
        <is>
          <t>Tetus</t>
        </is>
      </c>
      <c r="G63" s="94" t="inlineStr">
        <is>
          <t>T.I</t>
        </is>
      </c>
      <c r="H63" s="95" t="n">
        <v>629.98</v>
      </c>
    </row>
    <row r="64">
      <c r="A64" s="94" t="inlineStr">
        <is>
          <t>Mai/26</t>
        </is>
      </c>
      <c r="B64" s="94" t="inlineStr">
        <is>
          <t>28/05/2026</t>
        </is>
      </c>
      <c r="C64" s="94" t="inlineStr">
        <is>
          <t>CLARO S.A.</t>
        </is>
      </c>
      <c r="D64" s="94" t="inlineStr">
        <is>
          <t>FAT.17483469</t>
        </is>
      </c>
      <c r="E64" s="94" t="inlineStr">
        <is>
          <t>108218/2</t>
        </is>
      </c>
      <c r="F64" s="94" t="inlineStr">
        <is>
          <t>Tetus</t>
        </is>
      </c>
      <c r="G64" s="94" t="inlineStr">
        <is>
          <t>T.I</t>
        </is>
      </c>
      <c r="H64" s="95" t="n">
        <v>18.86</v>
      </c>
    </row>
    <row r="65">
      <c r="A65" s="94" t="inlineStr">
        <is>
          <t>Mai/26</t>
        </is>
      </c>
      <c r="B65" s="94" t="inlineStr">
        <is>
          <t>28/05/2026</t>
        </is>
      </c>
      <c r="C65" s="94" t="inlineStr">
        <is>
          <t>CLARO S.A.</t>
        </is>
      </c>
      <c r="D65" s="94" t="inlineStr">
        <is>
          <t>FAT.17483469</t>
        </is>
      </c>
      <c r="E65" s="94" t="inlineStr">
        <is>
          <t>108218/3</t>
        </is>
      </c>
      <c r="F65" s="94" t="inlineStr">
        <is>
          <t>Tetus</t>
        </is>
      </c>
      <c r="G65" s="94" t="inlineStr">
        <is>
          <t>T.I</t>
        </is>
      </c>
      <c r="H65" s="95" t="n">
        <v>133.95</v>
      </c>
    </row>
    <row r="66">
      <c r="A66" s="94" t="inlineStr">
        <is>
          <t>Mai/26</t>
        </is>
      </c>
      <c r="B66" s="94" t="inlineStr">
        <is>
          <t>01/05/2026</t>
        </is>
      </c>
      <c r="C66" s="94" t="inlineStr">
        <is>
          <t>J H ALVES - MONITOR REMOTO</t>
        </is>
      </c>
      <c r="D66" s="94" t="inlineStr">
        <is>
          <t>NFS.76</t>
        </is>
      </c>
      <c r="E66" s="94" t="inlineStr">
        <is>
          <t>105987/1</t>
        </is>
      </c>
      <c r="F66" s="94" t="inlineStr">
        <is>
          <t>Tetus</t>
        </is>
      </c>
      <c r="G66" s="94" t="inlineStr">
        <is>
          <t>T.I</t>
        </is>
      </c>
      <c r="H66" s="95" t="n">
        <v>3723.62</v>
      </c>
    </row>
    <row r="67">
      <c r="A67" s="94" t="inlineStr">
        <is>
          <t>Mai/26</t>
        </is>
      </c>
      <c r="B67" s="94" t="inlineStr">
        <is>
          <t>11/05/2026</t>
        </is>
      </c>
      <c r="C67" s="94" t="inlineStr">
        <is>
          <t>LOCAWEB SERVICOS DE INTERNET S/A</t>
        </is>
      </c>
      <c r="D67" s="94" t="inlineStr">
        <is>
          <t>BOL.LOCAWEB 11.05.26</t>
        </is>
      </c>
      <c r="E67" s="94" t="inlineStr">
        <is>
          <t>107254/1</t>
        </is>
      </c>
      <c r="F67" s="94" t="inlineStr">
        <is>
          <t>Tetus</t>
        </is>
      </c>
      <c r="G67" s="94" t="inlineStr">
        <is>
          <t>T.I</t>
        </is>
      </c>
      <c r="H67" s="95" t="n">
        <v>74.81</v>
      </c>
    </row>
    <row r="68">
      <c r="A68" s="94" t="inlineStr">
        <is>
          <t>Mai/26</t>
        </is>
      </c>
      <c r="B68" s="94" t="inlineStr">
        <is>
          <t>12/05/2026</t>
        </is>
      </c>
      <c r="C68" s="94" t="inlineStr">
        <is>
          <t>SABHA INTELIGENCIA EM TECNOLOGIA LTDA</t>
        </is>
      </c>
      <c r="D68" s="94" t="inlineStr">
        <is>
          <t>NFS.5744</t>
        </is>
      </c>
      <c r="E68" s="94" t="inlineStr">
        <is>
          <t>106664/1</t>
        </is>
      </c>
      <c r="F68" s="94" t="inlineStr">
        <is>
          <t>Tetus</t>
        </is>
      </c>
      <c r="G68" s="94" t="inlineStr">
        <is>
          <t>T.I</t>
        </is>
      </c>
      <c r="H68" s="95" t="n">
        <v>741.1</v>
      </c>
    </row>
    <row r="69">
      <c r="A69" s="94" t="inlineStr">
        <is>
          <t>Mai/26</t>
        </is>
      </c>
      <c r="B69" s="94" t="inlineStr">
        <is>
          <t>25/05/2026</t>
        </is>
      </c>
      <c r="C69" s="94" t="inlineStr">
        <is>
          <t>VC1 SOLUCOES EM TECNOLOGIA EIRELI</t>
        </is>
      </c>
      <c r="D69" s="94" t="inlineStr">
        <is>
          <t>BOL.29637</t>
        </is>
      </c>
      <c r="E69" s="94" t="inlineStr">
        <is>
          <t>108040/1</t>
        </is>
      </c>
      <c r="F69" s="94" t="inlineStr">
        <is>
          <t>Tetus</t>
        </is>
      </c>
      <c r="G69" s="94" t="inlineStr">
        <is>
          <t>T.I</t>
        </is>
      </c>
      <c r="H69" s="95" t="n">
        <v>137.92</v>
      </c>
    </row>
    <row r="70">
      <c r="A70" s="94" t="inlineStr">
        <is>
          <t>Mai/26</t>
        </is>
      </c>
      <c r="B70" s="94" t="inlineStr">
        <is>
          <t>07/05/2026</t>
        </is>
      </c>
      <c r="C70" s="94" t="inlineStr">
        <is>
          <t>VINICIUS DI FRANCO HEITOR</t>
        </is>
      </c>
      <c r="D70" s="94" t="inlineStr">
        <is>
          <t>SAL.sal 042026</t>
        </is>
      </c>
      <c r="E70" s="94" t="inlineStr">
        <is>
          <t>106947/1</t>
        </is>
      </c>
      <c r="F70" s="94" t="inlineStr">
        <is>
          <t>Tetus</t>
        </is>
      </c>
      <c r="G70" s="94" t="inlineStr">
        <is>
          <t>T.I</t>
        </is>
      </c>
      <c r="H70" s="95" t="n">
        <v>1483</v>
      </c>
    </row>
    <row r="71">
      <c r="A71" s="94" t="inlineStr">
        <is>
          <t>Mai/26</t>
        </is>
      </c>
      <c r="B71" s="94" t="inlineStr">
        <is>
          <t>20/05/2026</t>
        </is>
      </c>
      <c r="C71" s="94" t="inlineStr">
        <is>
          <t>VINICIUS DI FRANCO HEITOR</t>
        </is>
      </c>
      <c r="D71" s="94" t="inlineStr">
        <is>
          <t>SAL.vale 052026</t>
        </is>
      </c>
      <c r="E71" s="94" t="inlineStr">
        <is>
          <t>108156/1</t>
        </is>
      </c>
      <c r="F71" s="94" t="inlineStr">
        <is>
          <t>Tetus</t>
        </is>
      </c>
      <c r="G71" s="94" t="inlineStr">
        <is>
          <t>T.I</t>
        </is>
      </c>
      <c r="H71" s="95" t="n">
        <v>1029</v>
      </c>
    </row>
    <row r="72">
      <c r="A72" s="94" t="inlineStr">
        <is>
          <t>Mai/26</t>
        </is>
      </c>
      <c r="B72" s="94" t="inlineStr">
        <is>
          <t>2026-05-20 00:00:00</t>
        </is>
      </c>
      <c r="C72" s="94" t="inlineStr">
        <is>
          <t>VINICIUS DI FRANCO HEITOR</t>
        </is>
      </c>
      <c r="D72" s="94" t="inlineStr">
        <is>
          <t>FGTS/INSS</t>
        </is>
      </c>
      <c r="E72" s="94" t="inlineStr">
        <is>
          <t>113754/5</t>
        </is>
      </c>
      <c r="F72" s="94" t="inlineStr">
        <is>
          <t>Tetus</t>
        </is>
      </c>
      <c r="G72" s="94" t="inlineStr">
        <is>
          <t>T.I</t>
        </is>
      </c>
      <c r="H72" s="95" t="n">
        <v>207.04</v>
      </c>
    </row>
    <row r="73">
      <c r="A73" s="94" t="inlineStr">
        <is>
          <t>Mai/26</t>
        </is>
      </c>
      <c r="B73" s="94" t="inlineStr">
        <is>
          <t>2026-05-01 00:00:00</t>
        </is>
      </c>
      <c r="C73" s="94" t="inlineStr">
        <is>
          <t>Vale Alimentação Vinicius</t>
        </is>
      </c>
      <c r="D73" s="94" t="inlineStr"/>
      <c r="E73" s="94" t="inlineStr"/>
      <c r="F73" s="94" t="inlineStr">
        <is>
          <t>Tetus</t>
        </is>
      </c>
      <c r="G73" s="94" t="inlineStr">
        <is>
          <t>T.I</t>
        </is>
      </c>
      <c r="H73" s="95" t="n">
        <v>485</v>
      </c>
    </row>
    <row r="74">
      <c r="A74" s="94" t="inlineStr">
        <is>
          <t>Mai/26</t>
        </is>
      </c>
      <c r="B74" s="94" t="inlineStr">
        <is>
          <t>25/05/2026</t>
        </is>
      </c>
      <c r="C74" s="94" t="inlineStr">
        <is>
          <t>WEB MOBILE TELECOM LTDA</t>
        </is>
      </c>
      <c r="D74" s="94" t="inlineStr">
        <is>
          <t>NFS.1631</t>
        </is>
      </c>
      <c r="E74" s="94" t="inlineStr">
        <is>
          <t>107973/1</t>
        </is>
      </c>
      <c r="F74" s="94" t="inlineStr">
        <is>
          <t>Tetus</t>
        </is>
      </c>
      <c r="G74" s="94" t="inlineStr">
        <is>
          <t>T.I</t>
        </is>
      </c>
      <c r="H74" s="95" t="n">
        <v>75</v>
      </c>
    </row>
    <row r="75">
      <c r="A75" s="94" t="inlineStr">
        <is>
          <t>Jun/26</t>
        </is>
      </c>
      <c r="B75" s="94" t="inlineStr">
        <is>
          <t>05/06/2026</t>
        </is>
      </c>
      <c r="C75" s="94" t="inlineStr">
        <is>
          <t>ALFAMA PROCESSAMENTO DE DADOS LTDA</t>
        </is>
      </c>
      <c r="D75" s="94" t="inlineStr">
        <is>
          <t>AV.1015392</t>
        </is>
      </c>
      <c r="E75" s="94" t="inlineStr">
        <is>
          <t>108925/1</t>
        </is>
      </c>
      <c r="F75" s="94" t="inlineStr">
        <is>
          <t>Tetus</t>
        </is>
      </c>
      <c r="G75" s="94" t="inlineStr">
        <is>
          <t>T.I</t>
        </is>
      </c>
      <c r="H75" s="95" t="n">
        <v>183.6</v>
      </c>
    </row>
    <row r="76">
      <c r="A76" s="94" t="inlineStr">
        <is>
          <t>Jun/26</t>
        </is>
      </c>
      <c r="B76" s="94" t="inlineStr">
        <is>
          <t>30/06/2026</t>
        </is>
      </c>
      <c r="C76" s="94" t="inlineStr">
        <is>
          <t>CLARO S.A.</t>
        </is>
      </c>
      <c r="D76" s="94" t="inlineStr">
        <is>
          <t>FAT.21882309</t>
        </is>
      </c>
      <c r="E76" s="94" t="inlineStr">
        <is>
          <t>111124/1</t>
        </is>
      </c>
      <c r="F76" s="94" t="inlineStr">
        <is>
          <t>Tetus</t>
        </is>
      </c>
      <c r="G76" s="94" t="inlineStr">
        <is>
          <t>T.I</t>
        </is>
      </c>
      <c r="H76" s="95" t="n">
        <v>720</v>
      </c>
    </row>
    <row r="77">
      <c r="A77" s="94" t="inlineStr">
        <is>
          <t>Jun/26</t>
        </is>
      </c>
      <c r="B77" s="94" t="inlineStr">
        <is>
          <t>30/06/2026</t>
        </is>
      </c>
      <c r="C77" s="94" t="inlineStr">
        <is>
          <t>CLARO S.A.</t>
        </is>
      </c>
      <c r="D77" s="94" t="inlineStr">
        <is>
          <t>FAT.21882309</t>
        </is>
      </c>
      <c r="E77" s="94" t="inlineStr">
        <is>
          <t>111124/3</t>
        </is>
      </c>
      <c r="F77" s="94" t="inlineStr">
        <is>
          <t>Tetus</t>
        </is>
      </c>
      <c r="G77" s="94" t="inlineStr">
        <is>
          <t>T.I</t>
        </is>
      </c>
      <c r="H77" s="95" t="n">
        <v>20</v>
      </c>
    </row>
    <row r="78">
      <c r="A78" s="94" t="inlineStr">
        <is>
          <t>Jun/26</t>
        </is>
      </c>
      <c r="B78" s="94" t="inlineStr">
        <is>
          <t>30/06/2026</t>
        </is>
      </c>
      <c r="C78" s="94" t="inlineStr">
        <is>
          <t>INTELBRAS S.A. INDUSTRIA DE TELECOMUNICACAO ELETRONICA BRASILEIRA</t>
        </is>
      </c>
      <c r="D78" s="94" t="inlineStr">
        <is>
          <t>NFS.373725</t>
        </is>
      </c>
      <c r="E78" s="94" t="inlineStr">
        <is>
          <t>110785/1</t>
        </is>
      </c>
      <c r="F78" s="94" t="inlineStr">
        <is>
          <t>Tetus</t>
        </is>
      </c>
      <c r="G78" s="94" t="inlineStr">
        <is>
          <t>T.I</t>
        </is>
      </c>
      <c r="H78" s="95" t="n">
        <v>79.59999999999999</v>
      </c>
    </row>
    <row r="79">
      <c r="A79" s="94" t="inlineStr">
        <is>
          <t>Jun/26</t>
        </is>
      </c>
      <c r="B79" s="94" t="inlineStr">
        <is>
          <t>01/06/2026</t>
        </is>
      </c>
      <c r="C79" s="94" t="inlineStr">
        <is>
          <t>INTELBRAS S.A. INDUSTRIA DE TELECOMUNICACAO ELETRONICA BRASILEIRA</t>
        </is>
      </c>
      <c r="D79" s="94" t="inlineStr">
        <is>
          <t>NFS.0036884701</t>
        </is>
      </c>
      <c r="E79" s="94" t="inlineStr">
        <is>
          <t>109295/1</t>
        </is>
      </c>
      <c r="F79" s="94" t="inlineStr">
        <is>
          <t>Tetus</t>
        </is>
      </c>
      <c r="G79" s="94" t="inlineStr">
        <is>
          <t>T.I</t>
        </is>
      </c>
      <c r="H79" s="95" t="n">
        <v>84.81999999999999</v>
      </c>
    </row>
    <row r="80">
      <c r="A80" s="94" t="inlineStr">
        <is>
          <t>Jun/26</t>
        </is>
      </c>
      <c r="B80" s="94" t="inlineStr">
        <is>
          <t>01/06/2026</t>
        </is>
      </c>
      <c r="C80" s="94" t="inlineStr">
        <is>
          <t>J H ALVES - MONITOR REMOTO</t>
        </is>
      </c>
      <c r="D80" s="94" t="inlineStr">
        <is>
          <t>NFS.78</t>
        </is>
      </c>
      <c r="E80" s="94" t="inlineStr">
        <is>
          <t>108317/1</t>
        </is>
      </c>
      <c r="F80" s="94" t="inlineStr">
        <is>
          <t>Tetus</t>
        </is>
      </c>
      <c r="G80" s="94" t="inlineStr">
        <is>
          <t>T.I</t>
        </is>
      </c>
      <c r="H80" s="95" t="n">
        <v>6173.37</v>
      </c>
    </row>
    <row r="81">
      <c r="A81" s="94" t="inlineStr">
        <is>
          <t>Jun/26</t>
        </is>
      </c>
      <c r="B81" s="94" t="inlineStr">
        <is>
          <t>08/06/2026</t>
        </is>
      </c>
      <c r="C81" s="94" t="inlineStr">
        <is>
          <t>SABHA INTELIGENCIA EM TECNOLOGIA LTDA</t>
        </is>
      </c>
      <c r="D81" s="94" t="inlineStr">
        <is>
          <t>NFS.5832</t>
        </is>
      </c>
      <c r="E81" s="94" t="inlineStr">
        <is>
          <t>109227/1</t>
        </is>
      </c>
      <c r="F81" s="94" t="inlineStr">
        <is>
          <t>Tetus</t>
        </is>
      </c>
      <c r="G81" s="94" t="inlineStr">
        <is>
          <t>T.I</t>
        </is>
      </c>
      <c r="H81" s="95" t="n">
        <v>740.38</v>
      </c>
    </row>
    <row r="82">
      <c r="A82" s="94" t="inlineStr">
        <is>
          <t>Jun/26</t>
        </is>
      </c>
      <c r="B82" s="94" t="inlineStr">
        <is>
          <t>24/06/2026</t>
        </is>
      </c>
      <c r="C82" s="94" t="inlineStr">
        <is>
          <t>TELEFONICA BRASIL S.A.</t>
        </is>
      </c>
      <c r="D82" s="94" t="inlineStr">
        <is>
          <t>FAT.Vivo 04 2026</t>
        </is>
      </c>
      <c r="E82" s="94" t="inlineStr">
        <is>
          <t>110752/1</t>
        </is>
      </c>
      <c r="F82" s="94" t="inlineStr">
        <is>
          <t>Tetus</t>
        </is>
      </c>
      <c r="G82" s="94" t="inlineStr">
        <is>
          <t>T.I</t>
        </is>
      </c>
      <c r="H82" s="95" t="n">
        <v>184.86</v>
      </c>
    </row>
    <row r="83">
      <c r="A83" s="94" t="inlineStr">
        <is>
          <t>Jun/26</t>
        </is>
      </c>
      <c r="B83" s="94" t="inlineStr">
        <is>
          <t>24/06/2026</t>
        </is>
      </c>
      <c r="C83" s="94" t="inlineStr">
        <is>
          <t>TELEFONICA BRASIL S.A.</t>
        </is>
      </c>
      <c r="D83" s="94" t="inlineStr">
        <is>
          <t>FAT.Vivo 05 2026</t>
        </is>
      </c>
      <c r="E83" s="94" t="inlineStr">
        <is>
          <t>110753/1</t>
        </is>
      </c>
      <c r="F83" s="94" t="inlineStr">
        <is>
          <t>Tetus</t>
        </is>
      </c>
      <c r="G83" s="94" t="inlineStr">
        <is>
          <t>T.I</t>
        </is>
      </c>
      <c r="H83" s="95" t="n">
        <v>184.86</v>
      </c>
    </row>
    <row r="84">
      <c r="A84" s="94" t="inlineStr">
        <is>
          <t>Jun/26</t>
        </is>
      </c>
      <c r="B84" s="94" t="inlineStr">
        <is>
          <t>25/06/2026</t>
        </is>
      </c>
      <c r="C84" s="94" t="inlineStr">
        <is>
          <t>TELEFONICA BRASIL S.A.</t>
        </is>
      </c>
      <c r="D84" s="94" t="inlineStr">
        <is>
          <t>FAT.Vivo 06 2026</t>
        </is>
      </c>
      <c r="E84" s="94" t="inlineStr">
        <is>
          <t>110754/1</t>
        </is>
      </c>
      <c r="F84" s="94" t="inlineStr">
        <is>
          <t>Tetus</t>
        </is>
      </c>
      <c r="G84" s="94" t="inlineStr">
        <is>
          <t>T.I</t>
        </is>
      </c>
      <c r="H84" s="95" t="n">
        <v>184.86</v>
      </c>
    </row>
    <row r="85">
      <c r="A85" s="94" t="inlineStr">
        <is>
          <t>Jun/26</t>
        </is>
      </c>
      <c r="B85" s="94" t="inlineStr">
        <is>
          <t>15/06/2026</t>
        </is>
      </c>
      <c r="C85" s="94" t="inlineStr">
        <is>
          <t>VC1 SOLUCOES EM TECNOLOGIA EIRELI</t>
        </is>
      </c>
      <c r="D85" s="94" t="inlineStr">
        <is>
          <t>BOL.1017717992</t>
        </is>
      </c>
      <c r="E85" s="94" t="inlineStr">
        <is>
          <t>109298/1</t>
        </is>
      </c>
      <c r="F85" s="94" t="inlineStr">
        <is>
          <t>Tetus</t>
        </is>
      </c>
      <c r="G85" s="94" t="inlineStr">
        <is>
          <t>T.I</t>
        </is>
      </c>
      <c r="H85" s="95" t="n">
        <v>137.93</v>
      </c>
    </row>
    <row r="86">
      <c r="A86" s="94" t="inlineStr">
        <is>
          <t>Jun/26</t>
        </is>
      </c>
      <c r="B86" s="94" t="inlineStr">
        <is>
          <t>03/06/2026</t>
        </is>
      </c>
      <c r="C86" s="94" t="inlineStr">
        <is>
          <t>VINICIUS DI FRANCO HEITOR</t>
        </is>
      </c>
      <c r="D86" s="94" t="inlineStr">
        <is>
          <t>CX.27.05.26</t>
        </is>
      </c>
      <c r="E86" s="94" t="inlineStr">
        <is>
          <t>108827/1</t>
        </is>
      </c>
      <c r="F86" s="94" t="inlineStr">
        <is>
          <t>Tetus</t>
        </is>
      </c>
      <c r="G86" s="94" t="inlineStr">
        <is>
          <t>T.I</t>
        </is>
      </c>
      <c r="H86" s="95" t="n">
        <v>184</v>
      </c>
    </row>
    <row r="87">
      <c r="A87" s="94" t="inlineStr">
        <is>
          <t>Jun/26</t>
        </is>
      </c>
      <c r="B87" s="94" t="inlineStr">
        <is>
          <t>03/06/2026</t>
        </is>
      </c>
      <c r="C87" s="94" t="inlineStr">
        <is>
          <t>VINICIUS DI FRANCO HEITOR</t>
        </is>
      </c>
      <c r="D87" s="94" t="inlineStr">
        <is>
          <t>SAL.1_ Ferias 1 VIn D 26</t>
        </is>
      </c>
      <c r="E87" s="94" t="inlineStr">
        <is>
          <t>107780/1</t>
        </is>
      </c>
      <c r="F87" s="94" t="inlineStr">
        <is>
          <t>Tetus</t>
        </is>
      </c>
      <c r="G87" s="94" t="inlineStr">
        <is>
          <t>T.I</t>
        </is>
      </c>
      <c r="H87" s="95" t="n">
        <v>1101.12</v>
      </c>
    </row>
    <row r="88">
      <c r="A88" s="94" t="inlineStr">
        <is>
          <t>Jun/26</t>
        </is>
      </c>
      <c r="B88" s="94" t="inlineStr">
        <is>
          <t>05/06/2026</t>
        </is>
      </c>
      <c r="C88" s="94" t="inlineStr">
        <is>
          <t>VINICIUS DI FRANCO HEITOR</t>
        </is>
      </c>
      <c r="D88" s="94" t="inlineStr">
        <is>
          <t>SAL.sal 052026</t>
        </is>
      </c>
      <c r="E88" s="94" t="inlineStr">
        <is>
          <t>109482/1</t>
        </is>
      </c>
      <c r="F88" s="94" t="inlineStr">
        <is>
          <t>Tetus</t>
        </is>
      </c>
      <c r="G88" s="94" t="inlineStr">
        <is>
          <t>T.I</t>
        </is>
      </c>
      <c r="H88" s="95" t="n">
        <v>1455</v>
      </c>
    </row>
    <row r="89">
      <c r="A89" s="94" t="inlineStr">
        <is>
          <t>Jun/26</t>
        </is>
      </c>
      <c r="B89" s="94" t="inlineStr">
        <is>
          <t>19/06/2026</t>
        </is>
      </c>
      <c r="C89" s="94" t="inlineStr">
        <is>
          <t>VINICIUS DI FRANCO HEITOR</t>
        </is>
      </c>
      <c r="D89" s="94" t="inlineStr">
        <is>
          <t>SAL.SALARIO06VINI</t>
        </is>
      </c>
      <c r="E89" s="94" t="inlineStr">
        <is>
          <t>110700/1</t>
        </is>
      </c>
      <c r="F89" s="94" t="inlineStr">
        <is>
          <t>Tetus</t>
        </is>
      </c>
      <c r="G89" s="94" t="inlineStr">
        <is>
          <t>T.I</t>
        </is>
      </c>
      <c r="H89" s="95" t="n">
        <v>686</v>
      </c>
    </row>
    <row r="90">
      <c r="A90" s="94" t="inlineStr">
        <is>
          <t>Jun/26</t>
        </is>
      </c>
      <c r="B90" s="94" t="inlineStr">
        <is>
          <t>2026-06-20 00:00:00</t>
        </is>
      </c>
      <c r="C90" s="94" t="inlineStr">
        <is>
          <t>VINICIUS DI FRANCO HEITOR</t>
        </is>
      </c>
      <c r="D90" s="94" t="inlineStr">
        <is>
          <t>FGTS/INSS</t>
        </is>
      </c>
      <c r="E90" s="94" t="inlineStr">
        <is>
          <t>113754/6</t>
        </is>
      </c>
      <c r="F90" s="94" t="inlineStr">
        <is>
          <t>Tetus</t>
        </is>
      </c>
      <c r="G90" s="94" t="inlineStr">
        <is>
          <t>T.I</t>
        </is>
      </c>
      <c r="H90" s="95" t="n">
        <v>207.04</v>
      </c>
    </row>
    <row r="91">
      <c r="A91" s="94" t="inlineStr">
        <is>
          <t>Jun/26</t>
        </is>
      </c>
      <c r="B91" s="94" t="inlineStr">
        <is>
          <t>2026-06-01 00:00:00</t>
        </is>
      </c>
      <c r="C91" s="94" t="inlineStr">
        <is>
          <t>Vale Alimentação Vinicius</t>
        </is>
      </c>
      <c r="D91" s="94" t="inlineStr"/>
      <c r="E91" s="94" t="inlineStr"/>
      <c r="F91" s="94" t="inlineStr">
        <is>
          <t>Tetus</t>
        </is>
      </c>
      <c r="G91" s="94" t="inlineStr">
        <is>
          <t>T.I</t>
        </is>
      </c>
      <c r="H91" s="95" t="n">
        <v>485</v>
      </c>
    </row>
    <row r="92">
      <c r="A92" s="94" t="inlineStr">
        <is>
          <t>Jun/26</t>
        </is>
      </c>
      <c r="B92" s="94" t="inlineStr">
        <is>
          <t>25/06/2026</t>
        </is>
      </c>
      <c r="C92" s="94" t="inlineStr">
        <is>
          <t>WEB MOBILE TELECOM LTDA</t>
        </is>
      </c>
      <c r="D92" s="94" t="inlineStr">
        <is>
          <t>NFS.33</t>
        </is>
      </c>
      <c r="E92" s="94" t="inlineStr">
        <is>
          <t>110902/1</t>
        </is>
      </c>
      <c r="F92" s="94" t="inlineStr">
        <is>
          <t>Tetus</t>
        </is>
      </c>
      <c r="G92" s="94" t="inlineStr">
        <is>
          <t>T.I</t>
        </is>
      </c>
      <c r="H92" s="95" t="n">
        <v>75</v>
      </c>
    </row>
    <row r="93">
      <c r="A93" s="94" t="inlineStr">
        <is>
          <t>Jul/26</t>
        </is>
      </c>
      <c r="B93" s="94" t="inlineStr">
        <is>
          <t>28/07/2026</t>
        </is>
      </c>
      <c r="C93" s="94" t="inlineStr">
        <is>
          <t>CLARO S.A.</t>
        </is>
      </c>
      <c r="D93" s="94" t="inlineStr">
        <is>
          <t>FAT.Claro 07.26</t>
        </is>
      </c>
      <c r="E93" s="94" t="inlineStr">
        <is>
          <t>113575/1</t>
        </is>
      </c>
      <c r="F93" s="94" t="inlineStr">
        <is>
          <t>Tetus</t>
        </is>
      </c>
      <c r="G93" s="94" t="inlineStr">
        <is>
          <t>T.I</t>
        </is>
      </c>
      <c r="H93" s="95" t="n">
        <v>20.39</v>
      </c>
    </row>
    <row r="94">
      <c r="A94" s="94" t="inlineStr">
        <is>
          <t>Jul/26</t>
        </is>
      </c>
      <c r="B94" s="94" t="inlineStr">
        <is>
          <t>28/07/2026</t>
        </is>
      </c>
      <c r="C94" s="94" t="inlineStr">
        <is>
          <t>CLARO S.A.</t>
        </is>
      </c>
      <c r="D94" s="94" t="inlineStr">
        <is>
          <t>FAT.Claro 07.26</t>
        </is>
      </c>
      <c r="E94" s="94" t="inlineStr">
        <is>
          <t>113575/2</t>
        </is>
      </c>
      <c r="F94" s="94" t="inlineStr">
        <is>
          <t>Tetus</t>
        </is>
      </c>
      <c r="G94" s="94" t="inlineStr">
        <is>
          <t>T.I</t>
        </is>
      </c>
      <c r="H94" s="95" t="n">
        <v>133.73</v>
      </c>
    </row>
    <row r="95">
      <c r="A95" s="94" t="inlineStr">
        <is>
          <t>Jul/26</t>
        </is>
      </c>
      <c r="B95" s="94" t="inlineStr">
        <is>
          <t>28/07/2026</t>
        </is>
      </c>
      <c r="C95" s="94" t="inlineStr">
        <is>
          <t>CLARO S.A.</t>
        </is>
      </c>
      <c r="D95" s="94" t="inlineStr">
        <is>
          <t>FAT.Claro 07.26</t>
        </is>
      </c>
      <c r="E95" s="94" t="inlineStr">
        <is>
          <t>113575/3</t>
        </is>
      </c>
      <c r="F95" s="94" t="inlineStr">
        <is>
          <t>Tetus</t>
        </is>
      </c>
      <c r="G95" s="94" t="inlineStr">
        <is>
          <t>T.I</t>
        </is>
      </c>
      <c r="H95" s="95" t="n">
        <v>825.28</v>
      </c>
    </row>
    <row r="96">
      <c r="A96" s="94" t="inlineStr">
        <is>
          <t>Jul/26</t>
        </is>
      </c>
      <c r="B96" s="94" t="inlineStr">
        <is>
          <t>30/07/2026</t>
        </is>
      </c>
      <c r="C96" s="94" t="inlineStr">
        <is>
          <t>INTELBRAS S.A. INDUSTRIA DE TELECOMUNICACAO ELETRONICA BRASILEIRA</t>
        </is>
      </c>
      <c r="D96" s="94" t="inlineStr">
        <is>
          <t>NFS.377682</t>
        </is>
      </c>
      <c r="E96" s="94" t="inlineStr">
        <is>
          <t>114092/1</t>
        </is>
      </c>
      <c r="F96" s="94" t="inlineStr">
        <is>
          <t>Tetus</t>
        </is>
      </c>
      <c r="G96" s="94" t="inlineStr">
        <is>
          <t>T.I</t>
        </is>
      </c>
      <c r="H96" s="95" t="n">
        <v>79.59999999999999</v>
      </c>
    </row>
    <row r="97">
      <c r="A97" s="94" t="inlineStr">
        <is>
          <t>Jul/26</t>
        </is>
      </c>
      <c r="B97" s="94" t="inlineStr">
        <is>
          <t>01/07/2026</t>
        </is>
      </c>
      <c r="C97" s="94" t="inlineStr">
        <is>
          <t>J H ALVES - MONITOR REMOTO</t>
        </is>
      </c>
      <c r="D97" s="94" t="inlineStr">
        <is>
          <t>NFS.3</t>
        </is>
      </c>
      <c r="E97" s="94" t="inlineStr">
        <is>
          <t>111371/1</t>
        </is>
      </c>
      <c r="F97" s="94" t="inlineStr">
        <is>
          <t>Tetus</t>
        </is>
      </c>
      <c r="G97" s="94" t="inlineStr">
        <is>
          <t>T.I</t>
        </is>
      </c>
      <c r="H97" s="95" t="n">
        <v>6300</v>
      </c>
    </row>
    <row r="98">
      <c r="A98" s="94" t="inlineStr">
        <is>
          <t>Jul/26</t>
        </is>
      </c>
      <c r="B98" s="94" t="inlineStr">
        <is>
          <t>25/07/2026</t>
        </is>
      </c>
      <c r="C98" s="94" t="inlineStr">
        <is>
          <t>LOCAWEB SERVICOS DE INTERNET S/A</t>
        </is>
      </c>
      <c r="D98" s="94" t="inlineStr">
        <is>
          <t>BOL.LOCAWEB 07.26</t>
        </is>
      </c>
      <c r="E98" s="94" t="inlineStr">
        <is>
          <t>113049/1</t>
        </is>
      </c>
      <c r="F98" s="94" t="inlineStr">
        <is>
          <t>Tetus</t>
        </is>
      </c>
      <c r="G98" s="94" t="inlineStr">
        <is>
          <t>T.I</t>
        </is>
      </c>
      <c r="H98" s="95" t="n">
        <v>1151.26</v>
      </c>
    </row>
    <row r="99">
      <c r="A99" s="94" t="inlineStr">
        <is>
          <t>Jul/26</t>
        </is>
      </c>
      <c r="B99" s="94" t="inlineStr">
        <is>
          <t>30/07/2026</t>
        </is>
      </c>
      <c r="C99" s="94" t="inlineStr">
        <is>
          <t>SABHA INTELIGENCIA EM TECNOLOGIA LTDA</t>
        </is>
      </c>
      <c r="D99" s="94" t="inlineStr">
        <is>
          <t>NFS.66</t>
        </is>
      </c>
      <c r="E99" s="94" t="inlineStr">
        <is>
          <t>112107/1</t>
        </is>
      </c>
      <c r="F99" s="94" t="inlineStr">
        <is>
          <t>Tetus</t>
        </is>
      </c>
      <c r="G99" s="94" t="inlineStr">
        <is>
          <t>T.I</t>
        </is>
      </c>
      <c r="H99" s="95" t="n">
        <v>1037.38</v>
      </c>
    </row>
    <row r="100">
      <c r="A100" s="94" t="inlineStr">
        <is>
          <t>Jul/26</t>
        </is>
      </c>
      <c r="B100" s="94" t="inlineStr">
        <is>
          <t>06/07/2026</t>
        </is>
      </c>
      <c r="C100" s="94" t="inlineStr">
        <is>
          <t>VINICIUS DI FRANCO HEITOR</t>
        </is>
      </c>
      <c r="D100" s="94" t="inlineStr">
        <is>
          <t>SAL.sal 0626</t>
        </is>
      </c>
      <c r="E100" s="94" t="inlineStr">
        <is>
          <t>112402/1</t>
        </is>
      </c>
      <c r="F100" s="94" t="inlineStr">
        <is>
          <t>Tetus</t>
        </is>
      </c>
      <c r="G100" s="94" t="inlineStr">
        <is>
          <t>T.I</t>
        </is>
      </c>
      <c r="H100" s="95" t="n">
        <v>1225</v>
      </c>
    </row>
    <row r="101">
      <c r="A101" s="94" t="inlineStr">
        <is>
          <t>Jul/26</t>
        </is>
      </c>
      <c r="B101" s="94" t="inlineStr">
        <is>
          <t>20/07/2026</t>
        </is>
      </c>
      <c r="C101" s="94" t="inlineStr">
        <is>
          <t>VINICIUS DI FRANCO HEITOR</t>
        </is>
      </c>
      <c r="D101" s="94" t="inlineStr">
        <is>
          <t>FGTS/INSS</t>
        </is>
      </c>
      <c r="E101" s="94" t="inlineStr">
        <is>
          <t>113754/1</t>
        </is>
      </c>
      <c r="F101" s="94" t="inlineStr">
        <is>
          <t>Tetus</t>
        </is>
      </c>
      <c r="G101" s="94" t="inlineStr">
        <is>
          <t>T.I</t>
        </is>
      </c>
      <c r="H101" s="95" t="n">
        <v>1029</v>
      </c>
    </row>
    <row r="102">
      <c r="A102" s="94" t="inlineStr">
        <is>
          <t>Jul/26</t>
        </is>
      </c>
      <c r="B102" s="94" t="inlineStr">
        <is>
          <t>20/07/2026</t>
        </is>
      </c>
      <c r="C102" s="94" t="inlineStr">
        <is>
          <t>VINICIUS DI FRANCO HEITOR</t>
        </is>
      </c>
      <c r="D102" s="94" t="inlineStr">
        <is>
          <t>FGTS/INSS</t>
        </is>
      </c>
      <c r="E102" s="94" t="inlineStr">
        <is>
          <t>113754/7</t>
        </is>
      </c>
      <c r="F102" s="94" t="inlineStr">
        <is>
          <t>Tetus</t>
        </is>
      </c>
      <c r="G102" s="94" t="inlineStr">
        <is>
          <t>T.I</t>
        </is>
      </c>
      <c r="H102" s="95" t="n">
        <v>207.04</v>
      </c>
    </row>
    <row r="103">
      <c r="A103" s="94" t="inlineStr">
        <is>
          <t>Jul/26</t>
        </is>
      </c>
      <c r="B103" s="94" t="inlineStr">
        <is>
          <t>2026-07-01 00:00:00</t>
        </is>
      </c>
      <c r="C103" s="94" t="inlineStr">
        <is>
          <t>Vale Alimentação Vinicius</t>
        </is>
      </c>
      <c r="D103" s="94" t="inlineStr"/>
      <c r="E103" s="94" t="inlineStr"/>
      <c r="F103" s="94" t="inlineStr">
        <is>
          <t>Tetus</t>
        </is>
      </c>
      <c r="G103" s="94" t="inlineStr">
        <is>
          <t>T.I</t>
        </is>
      </c>
      <c r="H103" s="95" t="n">
        <v>485</v>
      </c>
    </row>
    <row r="104">
      <c r="A104" s="94" t="inlineStr">
        <is>
          <t>Jul/26</t>
        </is>
      </c>
      <c r="B104" s="94" t="inlineStr">
        <is>
          <t>25/07/2026</t>
        </is>
      </c>
      <c r="C104" s="94" t="inlineStr">
        <is>
          <t>WEB MOBILE TELECOM LTDA</t>
        </is>
      </c>
      <c r="D104" s="94" t="inlineStr">
        <is>
          <t>NFS.84</t>
        </is>
      </c>
      <c r="E104" s="94" t="inlineStr">
        <is>
          <t>113583/1</t>
        </is>
      </c>
      <c r="F104" s="94" t="inlineStr">
        <is>
          <t>Tetus</t>
        </is>
      </c>
      <c r="G104" s="94" t="inlineStr">
        <is>
          <t>T.I</t>
        </is>
      </c>
      <c r="H104" s="95" t="n">
        <v>82.5</v>
      </c>
    </row>
    <row r="105">
      <c r="G105" s="96" t="inlineStr">
        <is>
          <t>TOTAL</t>
        </is>
      </c>
      <c r="H105" s="97">
        <f>SUM(H5:H104)</f>
        <v/>
      </c>
    </row>
  </sheetData>
  <autoFilter ref="A4:H104"/>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2026-08-07T19:16:40Z</dcterms:created>
  <dcterms:modified xsi:type="dcterms:W3CDTF">2026-08-07T19:16:40Z</dcterms:modified>
</cp:coreProperties>
</file>