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1">
      <c r="A31" s="42" t="inlineStr">
        <is>
          <t>TOTAL GERAL</t>
        </is>
      </c>
      <c r="B31" s="42" t="n"/>
      <c r="C31" s="42" t="n"/>
      <c r="D31" s="42" t="n"/>
      <c r="E31" s="42" t="n"/>
      <c r="F31" s="43">
        <f>SUM(F6:F21)</f>
        <v/>
      </c>
      <c r="G31" s="43">
        <f>SUM(G6:G21)</f>
        <v/>
      </c>
      <c r="H31" s="43">
        <f>SUM(H6:H21)</f>
        <v/>
      </c>
      <c r="I31" s="43">
        <f>SUM(I6:I21)</f>
        <v/>
      </c>
      <c r="J31" s="43">
        <f>SUM(J6:J21)</f>
        <v/>
      </c>
      <c r="K31" s="43">
        <f>SUM(K6:K21)</f>
        <v/>
      </c>
      <c r="L31" s="44">
        <f>IFERROR(K31/I31,"")</f>
        <v/>
      </c>
      <c r="M31" s="44">
        <f>IFERROR(J31/I31,"")</f>
        <v/>
      </c>
      <c r="N31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CONFERIR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Se algum contrato tinha valor diferente no 1º quadrimestre, ou se houve bonificação nesse período, o planejado de jan a abr precisa ser corrigido antes de comparar com o realizado.</t>
        </is>
      </c>
      <c r="E8" s="65" t="inlineStr">
        <is>
          <t>Cristiane</t>
        </is>
      </c>
      <c r="F8" s="67" t="inlineStr">
        <is>
          <t>CONFERIR</t>
        </is>
      </c>
    </row>
    <row r="9" ht="58" customHeight="1">
      <c r="A9" s="61" t="inlineStr">
        <is>
          <t>I</t>
        </is>
      </c>
      <c r="B9" s="62" t="inlineStr">
        <is>
          <t>Realizado de jan a abr — A LANÇAR</t>
        </is>
      </c>
      <c r="C9" s="62" t="inlineStr">
        <is>
          <t>As colunas de jan a abr estão em branco na aba Realizado. Só mai, jun e jul foram informados.</t>
        </is>
      </c>
      <c r="D9" s="62" t="inlineStr">
        <is>
          <t>São 4 dos 7 meses já fechados do ano. Sem eles o acumulado e o Painel refletem menos da metade do período decorrido.</t>
        </is>
      </c>
      <c r="E9" s="62" t="inlineStr">
        <is>
          <t>Cristiane</t>
        </is>
      </c>
      <c r="F9" s="63" t="inlineStr">
        <is>
          <t>A LANÇAR</t>
        </is>
      </c>
    </row>
    <row r="10" ht="58" customHeight="1">
      <c r="A10" s="64" t="inlineStr">
        <is>
          <t>J</t>
        </is>
      </c>
      <c r="B10" s="65" t="inlineStr">
        <is>
          <t>Despesas do TI — A LANÇAR</t>
        </is>
      </c>
      <c r="C10" s="65" t="inlineStr">
        <is>
          <t>As 9 linhas de despesas do TI (peças, backup, Adapta, antivírus, Office, sala de reunião, cursos, app de gravação e bonificação) não têm lançamento em nenhum mês.</t>
        </is>
      </c>
      <c r="D10" s="65" t="inlineStr">
        <is>
          <t>São R$ 89.040 orçados no ano, 35% do orçamento do TI. Sem lançamento, o departamento aparece com desvio negativo que é ausência de dado.</t>
        </is>
      </c>
      <c r="E10" s="65" t="inlineStr">
        <is>
          <t>Cristiane</t>
        </is>
      </c>
      <c r="F10" s="63" t="inlineStr">
        <is>
          <t>A LANÇAR</t>
        </is>
      </c>
    </row>
    <row r="11" ht="58" customHeight="1">
      <c r="A11" s="61" t="inlineStr">
        <is>
          <t>1</t>
        </is>
      </c>
      <c r="B11" s="62" t="inlineStr">
        <is>
          <t>Base de meses — reconciliada com a ficha original</t>
        </is>
      </c>
      <c r="C11" s="6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62" t="inlineStr">
        <is>
          <t>Equipe de TI no valor original de R$ 167.778,30. Jonathan lançado com entrada em abr/26 (9 meses), que é o que explica os R$ 90.000.</t>
        </is>
      </c>
      <c r="E11" s="62" t="inlineStr">
        <is>
          <t>Cristiane</t>
        </is>
      </c>
      <c r="F11" s="68" t="inlineStr">
        <is>
          <t>RESOLVIDO</t>
        </is>
      </c>
    </row>
    <row r="12" ht="58" customHeight="1">
      <c r="A12" s="64" t="inlineStr">
        <is>
          <t>2</t>
        </is>
      </c>
      <c r="B12" s="65" t="inlineStr">
        <is>
          <t>Origem do valor realizado</t>
        </is>
      </c>
      <c r="C12" s="65" t="inlineStr">
        <is>
          <t>Ainda não definido se o realizado virá de lançamento manual, de relatório do financeiro/ERP por centro de custo, ou misto. Até aqui os números vieram informados pela gestora.</t>
        </is>
      </c>
      <c r="D12" s="65" t="inlineStr">
        <is>
          <t>Sem fonte definida o realizado pode divergir da contabilidade e o comparativo perde valor na apresentação à diretoria.</t>
        </is>
      </c>
      <c r="E12" s="65" t="inlineStr">
        <is>
          <t>Cristiane + Financeiro</t>
        </is>
      </c>
      <c r="F12" s="66" t="inlineStr">
        <is>
          <t>EM ABERTO</t>
        </is>
      </c>
    </row>
    <row r="13" ht="58" customHeight="1">
      <c r="A13" s="61" t="inlineStr">
        <is>
          <t>L</t>
        </is>
      </c>
      <c r="B13" s="62" t="inlineStr">
        <is>
          <t>Ferramentas de IA sem orçamento — DEFINIR META</t>
        </is>
      </c>
      <c r="C13" s="62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3" s="62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3" s="62" t="inlineStr">
        <is>
          <t>Cristiane + Diretoria</t>
        </is>
      </c>
      <c r="F13" s="69" t="inlineStr">
        <is>
          <t>PAUTA REUNIÃO</t>
        </is>
      </c>
    </row>
    <row r="14" ht="58" customHeight="1">
      <c r="A14" s="64" t="inlineStr">
        <is>
          <t>4</t>
        </is>
      </c>
      <c r="B14" s="65" t="inlineStr">
        <is>
          <t>Rateio dos softwares corporativos de TI</t>
        </is>
      </c>
      <c r="C14" s="65" t="inlineStr">
        <is>
          <t>Backup (R$ 9.900), Adapta/IA (R$ 17.400), Antivírus (R$ 2.880) e Office 365 (R$ 4.500) estão marcados na ficha como 'não sei se seria administrativo'. Total no ano: R$ 34.680.</t>
        </is>
      </c>
      <c r="D14" s="65" t="inlineStr">
        <is>
          <t>São 39% das despesas do TI. Se são da empresa toda e ficam no centro de custo de TI, o departamento carrega despesa que não é dele e aparece caro.</t>
        </is>
      </c>
      <c r="E14" s="65" t="inlineStr">
        <is>
          <t>Cristiane + Controladoria</t>
        </is>
      </c>
      <c r="F14" s="66" t="inlineStr">
        <is>
          <t>EM ABERTO</t>
        </is>
      </c>
    </row>
    <row r="15" ht="58" customHeight="1">
      <c r="A15" s="61" t="inlineStr">
        <is>
          <t>5</t>
        </is>
      </c>
      <c r="B15" s="62" t="inlineStr">
        <is>
          <t>Sala de Reunião — recorrente ou pontual?</t>
        </is>
      </c>
      <c r="C15" s="62" t="inlineStr">
        <is>
          <t>R$ 2.800/mês × 12 = R$ 33.600 diluídos linearmente, classificados em Móveis e Utensílios.</t>
        </is>
      </c>
      <c r="D15" s="62" t="inlineStr">
        <is>
          <t>Se for compra pontual (CAPEX), o desvio mensal vai acusar alarme falso todo mês até a compra acontecer, e um pico no mês da compra.</t>
        </is>
      </c>
      <c r="E15" s="62" t="inlineStr">
        <is>
          <t>Cristiane</t>
        </is>
      </c>
      <c r="F15" s="66" t="inlineStr">
        <is>
          <t>EM ABERTO</t>
        </is>
      </c>
    </row>
    <row r="16" ht="58" customHeight="1">
      <c r="A16" s="64" t="inlineStr">
        <is>
          <t>6</t>
        </is>
      </c>
      <c r="B16" s="65" t="inlineStr">
        <is>
          <t>Office 365 — nº de licenças</t>
        </is>
      </c>
      <c r="C16" s="65" t="inlineStr">
        <is>
          <t>A observação diz '10 licenças de software – 60 usuários'. Os dois números não fecham entre si.</t>
        </is>
      </c>
      <c r="D16" s="65" t="inlineStr">
        <is>
          <t>Afeta o valor orçado da linha e a projeção de crescimento.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7</t>
        </is>
      </c>
      <c r="B17" s="62" t="inlineStr">
        <is>
          <t>Competência x caixa — DEFASAGEM CONFIRMADA</t>
        </is>
      </c>
      <c r="C17" s="62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7" s="62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17" s="62" t="inlineStr">
        <is>
          <t>Cristiane + Financeiro</t>
        </is>
      </c>
      <c r="F17" s="67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0" t="inlineStr">
        <is>
          <t>2</t>
        </is>
      </c>
      <c r="B6" s="71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2026-08-06T13:20:15Z</dcterms:created>
  <dcterms:modified xsi:type="dcterms:W3CDTF">2026-08-06T13:20:15Z</dcterms:modified>
</cp:coreProperties>
</file>