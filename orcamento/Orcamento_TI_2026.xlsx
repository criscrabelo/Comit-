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'Comparativo'!$A$5:$N$22</definedName>
    <definedName name="_xlnm._FilterDatabase" localSheetId="2" hidden="1">'Planejado'!$A$4:$T$21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SUMIFS(Planejado!$T$5:$T$21,Planejado!$B$5:$B$21,"TI",Planejado!$C$5:$C$21,"Equipe")</f>
        <v/>
      </c>
      <c r="D6" s="8">
        <f>SUMIFS(Comparativo!$I$6:$I$22,Comparativo!$B$6:$B$22,"TI",Comparativo!$C$6:$C$22,"Equipe")</f>
        <v/>
      </c>
      <c r="E6" s="8">
        <f>SUMIFS(Comparativo!$J$6:$J$22,Comparativo!$B$6:$B$22,"TI",Comparativo!$C$6:$C$22,"Equipe")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COUNTIFS(Comparativo!$P$6:$P$22,"&gt;0",Comparativo!$B$6:$B$22,"TI",Comparativo!$C$6:$C$22,"Equipe")&amp;" de "&amp;COUNTIFS(Comparativo!$A$6:$A$22,"?*",Comparativo!$B$6:$B$22,"TI",Comparativo!$C$6:$C$22,"Equipe")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SUMIFS(Planejado!$T$5:$T$21,Planejado!$B$5:$B$21,"TI",Planejado!$C$5:$C$21,"Despesas")</f>
        <v/>
      </c>
      <c r="D7" s="8">
        <f>SUMIFS(Comparativo!$I$6:$I$22,Comparativo!$B$6:$B$22,"TI",Comparativo!$C$6:$C$22,"Despesas")</f>
        <v/>
      </c>
      <c r="E7" s="8">
        <f>SUMIFS(Comparativo!$J$6:$J$22,Comparativo!$B$6:$B$22,"TI",Comparativo!$C$6:$C$22,"Despesas")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COUNTIFS(Comparativo!$P$6:$P$22,"&gt;0",Comparativo!$B$6:$B$22,"TI",Comparativo!$C$6:$C$22,"Despesas")&amp;" de "&amp;COUNTIFS(Comparativo!$A$6:$A$22,"?*",Comparativo!$B$6:$B$22,"TI",Comparativo!$C$6:$C$22,"Despesas")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SUMIFS(Planejado!$T$5:$T$21,Planejado!$B$5:$B$21,"TI")</f>
        <v/>
      </c>
      <c r="D8" s="12">
        <f>SUMIFS(Comparativo!$I$6:$I$22,Comparativo!$B$6:$B$22,"TI")</f>
        <v/>
      </c>
      <c r="E8" s="12">
        <f>SUMIFS(Comparativo!$J$6:$J$22,Comparativo!$B$6:$B$22,"TI")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COUNTIFS(Comparativo!$P$6:$P$22,"&gt;0",Comparativo!$B$6:$B$22,"TI")&amp;" de "&amp;COUNTIFS(Comparativo!$A$6:$A$22,"?*",Comparativo!$B$6:$B$22,"TI")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-SUMIF(Comparativo!$Q$6:$Q$22,"&lt;0")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-SUMIF(Comparativo!$Q$6:$Q$22,"&gt;0")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-SUM(Comparativo!$Q$6:$Q$22)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IFERROR(-SUM(Comparativo!$Q$6:$Q$22)/Comparativo!$D$3*12,"")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IFERROR(-SUM(Comparativo!$Q$6:$Q$22)/SUM(Comparativo!$S$6:$S$22),"")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IFERROR(INDEX(Comparativo!$D$6:$D$22,MATCH(LARGE(Comparativo!$R$6:$R$22,A21),Comparativo!$R$6:$R$22,0)),"")</f>
        <v/>
      </c>
      <c r="C21" s="26">
        <f>IFERROR(INDEX(Comparativo!$B$6:$B$22,MATCH(LARGE(Comparativo!$R$6:$R$22,A21),Comparativo!$R$6:$R$22,0)),"")</f>
        <v/>
      </c>
      <c r="D21" s="27">
        <f>IFERROR(INDEX(Comparativo!$I$6:$I$22,MATCH(LARGE(Comparativo!$R$6:$R$22,A21),Comparativo!$R$6:$R$22,0)),"")</f>
        <v/>
      </c>
      <c r="E21" s="27">
        <f>IFERROR(INDEX(Comparativo!$J$6:$J$22,MATCH(LARGE(Comparativo!$R$6:$R$22,A21),Comparativo!$R$6:$R$22,0)),"")</f>
        <v/>
      </c>
      <c r="F21" s="28">
        <f>IFERROR(-IFERROR(INDEX(Comparativo!$K$6:$K$22,MATCH(LARGE(Comparativo!$R$6:$R$22,A21),Comparativo!$R$6:$R$22,0)),""),"")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IFERROR(INDEX(Comparativo!$D$6:$D$22,MATCH(LARGE(Comparativo!$R$6:$R$22,A22),Comparativo!$R$6:$R$22,0)),"")</f>
        <v/>
      </c>
      <c r="C22" s="26">
        <f>IFERROR(INDEX(Comparativo!$B$6:$B$22,MATCH(LARGE(Comparativo!$R$6:$R$22,A22),Comparativo!$R$6:$R$22,0)),"")</f>
        <v/>
      </c>
      <c r="D22" s="27">
        <f>IFERROR(INDEX(Comparativo!$I$6:$I$22,MATCH(LARGE(Comparativo!$R$6:$R$22,A22),Comparativo!$R$6:$R$22,0)),"")</f>
        <v/>
      </c>
      <c r="E22" s="27">
        <f>IFERROR(INDEX(Comparativo!$J$6:$J$22,MATCH(LARGE(Comparativo!$R$6:$R$22,A22),Comparativo!$R$6:$R$22,0)),"")</f>
        <v/>
      </c>
      <c r="F22" s="28">
        <f>IFERROR(-IFERROR(INDEX(Comparativo!$K$6:$K$22,MATCH(LARGE(Comparativo!$R$6:$R$22,A22),Comparativo!$R$6:$R$22,0)),""),"")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IFERROR(INDEX(Comparativo!$D$6:$D$22,MATCH(LARGE(Comparativo!$R$6:$R$22,A23),Comparativo!$R$6:$R$22,0)),"")</f>
        <v/>
      </c>
      <c r="C23" s="26">
        <f>IFERROR(INDEX(Comparativo!$B$6:$B$22,MATCH(LARGE(Comparativo!$R$6:$R$22,A23),Comparativo!$R$6:$R$22,0)),"")</f>
        <v/>
      </c>
      <c r="D23" s="27">
        <f>IFERROR(INDEX(Comparativo!$I$6:$I$22,MATCH(LARGE(Comparativo!$R$6:$R$22,A23),Comparativo!$R$6:$R$22,0)),"")</f>
        <v/>
      </c>
      <c r="E23" s="27">
        <f>IFERROR(INDEX(Comparativo!$J$6:$J$22,MATCH(LARGE(Comparativo!$R$6:$R$22,A23),Comparativo!$R$6:$R$22,0)),"")</f>
        <v/>
      </c>
      <c r="F23" s="28">
        <f>IFERROR(-IFERROR(INDEX(Comparativo!$K$6:$K$22,MATCH(LARGE(Comparativo!$R$6:$R$22,A23),Comparativo!$R$6:$R$22,0)),""),"")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IFERROR(INDEX(Comparativo!$D$6:$D$22,MATCH(LARGE(Comparativo!$R$6:$R$22,A24),Comparativo!$R$6:$R$22,0)),"")</f>
        <v/>
      </c>
      <c r="C24" s="26">
        <f>IFERROR(INDEX(Comparativo!$B$6:$B$22,MATCH(LARGE(Comparativo!$R$6:$R$22,A24),Comparativo!$R$6:$R$22,0)),"")</f>
        <v/>
      </c>
      <c r="D24" s="27">
        <f>IFERROR(INDEX(Comparativo!$I$6:$I$22,MATCH(LARGE(Comparativo!$R$6:$R$22,A24),Comparativo!$R$6:$R$22,0)),"")</f>
        <v/>
      </c>
      <c r="E24" s="27">
        <f>IFERROR(INDEX(Comparativo!$J$6:$J$22,MATCH(LARGE(Comparativo!$R$6:$R$22,A24),Comparativo!$R$6:$R$22,0)),"")</f>
        <v/>
      </c>
      <c r="F24" s="28">
        <f>IFERROR(-IFERROR(INDEX(Comparativo!$K$6:$K$22,MATCH(LARGE(Comparativo!$R$6:$R$22,A24),Comparativo!$R$6:$R$22,0)),""),"")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IFERROR(INDEX(Comparativo!$D$6:$D$22,MATCH(LARGE(Comparativo!$R$6:$R$22,A25),Comparativo!$R$6:$R$22,0)),"")</f>
        <v/>
      </c>
      <c r="C25" s="26">
        <f>IFERROR(INDEX(Comparativo!$B$6:$B$22,MATCH(LARGE(Comparativo!$R$6:$R$22,A25),Comparativo!$R$6:$R$22,0)),"")</f>
        <v/>
      </c>
      <c r="D25" s="27">
        <f>IFERROR(INDEX(Comparativo!$I$6:$I$22,MATCH(LARGE(Comparativo!$R$6:$R$22,A25),Comparativo!$R$6:$R$22,0)),"")</f>
        <v/>
      </c>
      <c r="E25" s="27">
        <f>IFERROR(INDEX(Comparativo!$J$6:$J$22,MATCH(LARGE(Comparativo!$R$6:$R$22,A25),Comparativo!$R$6:$R$22,0)),"")</f>
        <v/>
      </c>
      <c r="F25" s="28">
        <f>IFERROR(-IFERROR(INDEX(Comparativo!$K$6:$K$22,MATCH(LARGE(Comparativo!$R$6:$R$22,A25),Comparativo!$R$6:$R$22,0)),""),"")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IFERROR(INDEX(Comparativo!$D$6:$D$22,MATCH(LARGE(Comparativo!$O$6:$O$22,A30),Comparativo!$O$6:$O$22,0)),"")</f>
        <v/>
      </c>
      <c r="C30" s="26">
        <f>IFERROR(INDEX(Comparativo!$B$6:$B$22,MATCH(LARGE(Comparativo!$O$6:$O$22,A30),Comparativo!$O$6:$O$22,0)),"")</f>
        <v/>
      </c>
      <c r="D30" s="27">
        <f>IFERROR(INDEX(Comparativo!$I$6:$I$22,MATCH(LARGE(Comparativo!$O$6:$O$22,A30),Comparativo!$O$6:$O$22,0)),"")</f>
        <v/>
      </c>
      <c r="E30" s="27">
        <f>IFERROR(INDEX(Comparativo!$J$6:$J$22,MATCH(LARGE(Comparativo!$O$6:$O$22,A30),Comparativo!$O$6:$O$22,0)),"")</f>
        <v/>
      </c>
      <c r="F30" s="27">
        <f>IFERROR(INDEX(Comparativo!$K$6:$K$22,MATCH(LARGE(Comparativo!$O$6:$O$22,A30),Comparativo!$O$6:$O$22,0)),"")</f>
        <v/>
      </c>
      <c r="G30" s="29">
        <f>IFERROR(F30/D30,"")</f>
        <v/>
      </c>
    </row>
    <row r="31">
      <c r="A31" s="25" t="n">
        <v>2</v>
      </c>
      <c r="B31" s="26">
        <f>IFERROR(INDEX(Comparativo!$D$6:$D$22,MATCH(LARGE(Comparativo!$O$6:$O$22,A31),Comparativo!$O$6:$O$22,0)),"")</f>
        <v/>
      </c>
      <c r="C31" s="26">
        <f>IFERROR(INDEX(Comparativo!$B$6:$B$22,MATCH(LARGE(Comparativo!$O$6:$O$22,A31),Comparativo!$O$6:$O$22,0)),"")</f>
        <v/>
      </c>
      <c r="D31" s="27">
        <f>IFERROR(INDEX(Comparativo!$I$6:$I$22,MATCH(LARGE(Comparativo!$O$6:$O$22,A31),Comparativo!$O$6:$O$22,0)),"")</f>
        <v/>
      </c>
      <c r="E31" s="27">
        <f>IFERROR(INDEX(Comparativo!$J$6:$J$22,MATCH(LARGE(Comparativo!$O$6:$O$22,A31),Comparativo!$O$6:$O$22,0)),"")</f>
        <v/>
      </c>
      <c r="F31" s="27">
        <f>IFERROR(INDEX(Comparativo!$K$6:$K$22,MATCH(LARGE(Comparativo!$O$6:$O$22,A31),Comparativo!$O$6:$O$22,0)),"")</f>
        <v/>
      </c>
      <c r="G31" s="29">
        <f>IFERROR(F31/D31,"")</f>
        <v/>
      </c>
    </row>
    <row r="32">
      <c r="A32" s="25" t="n">
        <v>3</v>
      </c>
      <c r="B32" s="26">
        <f>IFERROR(INDEX(Comparativo!$D$6:$D$22,MATCH(LARGE(Comparativo!$O$6:$O$22,A32),Comparativo!$O$6:$O$22,0)),"")</f>
        <v/>
      </c>
      <c r="C32" s="26">
        <f>IFERROR(INDEX(Comparativo!$B$6:$B$22,MATCH(LARGE(Comparativo!$O$6:$O$22,A32),Comparativo!$O$6:$O$22,0)),"")</f>
        <v/>
      </c>
      <c r="D32" s="27">
        <f>IFERROR(INDEX(Comparativo!$I$6:$I$22,MATCH(LARGE(Comparativo!$O$6:$O$22,A32),Comparativo!$O$6:$O$22,0)),"")</f>
        <v/>
      </c>
      <c r="E32" s="27">
        <f>IFERROR(INDEX(Comparativo!$J$6:$J$22,MATCH(LARGE(Comparativo!$O$6:$O$22,A32),Comparativo!$O$6:$O$22,0)),"")</f>
        <v/>
      </c>
      <c r="F32" s="27">
        <f>IFERROR(INDEX(Comparativo!$K$6:$K$22,MATCH(LARGE(Comparativo!$O$6:$O$22,A32),Comparativo!$O$6:$O$22,0)),"")</f>
        <v/>
      </c>
      <c r="G32" s="29">
        <f>IFERROR(F32/D32,"")</f>
        <v/>
      </c>
    </row>
    <row r="33">
      <c r="A33" s="25" t="n">
        <v>4</v>
      </c>
      <c r="B33" s="26">
        <f>IFERROR(INDEX(Comparativo!$D$6:$D$22,MATCH(LARGE(Comparativo!$O$6:$O$22,A33),Comparativo!$O$6:$O$22,0)),"")</f>
        <v/>
      </c>
      <c r="C33" s="26">
        <f>IFERROR(INDEX(Comparativo!$B$6:$B$22,MATCH(LARGE(Comparativo!$O$6:$O$22,A33),Comparativo!$O$6:$O$22,0)),"")</f>
        <v/>
      </c>
      <c r="D33" s="27">
        <f>IFERROR(INDEX(Comparativo!$I$6:$I$22,MATCH(LARGE(Comparativo!$O$6:$O$22,A33),Comparativo!$O$6:$O$22,0)),"")</f>
        <v/>
      </c>
      <c r="E33" s="27">
        <f>IFERROR(INDEX(Comparativo!$J$6:$J$22,MATCH(LARGE(Comparativo!$O$6:$O$22,A33),Comparativo!$O$6:$O$22,0)),"")</f>
        <v/>
      </c>
      <c r="F33" s="27">
        <f>IFERROR(INDEX(Comparativo!$K$6:$K$22,MATCH(LARGE(Comparativo!$O$6:$O$22,A33),Comparativo!$O$6:$O$22,0)),"")</f>
        <v/>
      </c>
      <c r="G33" s="29">
        <f>IFERROR(F33/D33,"")</f>
        <v/>
      </c>
    </row>
    <row r="34">
      <c r="A34" s="25" t="n">
        <v>5</v>
      </c>
      <c r="B34" s="26">
        <f>IFERROR(INDEX(Comparativo!$D$6:$D$22,MATCH(LARGE(Comparativo!$O$6:$O$22,A34),Comparativo!$O$6:$O$22,0)),"")</f>
        <v/>
      </c>
      <c r="C34" s="26">
        <f>IFERROR(INDEX(Comparativo!$B$6:$B$22,MATCH(LARGE(Comparativo!$O$6:$O$22,A34),Comparativo!$O$6:$O$22,0)),"")</f>
        <v/>
      </c>
      <c r="D34" s="27">
        <f>IFERROR(INDEX(Comparativo!$I$6:$I$22,MATCH(LARGE(Comparativo!$O$6:$O$22,A34),Comparativo!$O$6:$O$22,0)),"")</f>
        <v/>
      </c>
      <c r="E34" s="27">
        <f>IFERROR(INDEX(Comparativo!$J$6:$J$22,MATCH(LARGE(Comparativo!$O$6:$O$22,A34),Comparativo!$O$6:$O$22,0)),"")</f>
        <v/>
      </c>
      <c r="F34" s="27">
        <f>IFERROR(INDEX(Comparativo!$K$6:$K$22,MATCH(LARGE(Comparativo!$O$6:$O$22,A34),Comparativo!$O$6:$O$22,0)),"")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33">
      <c r="A33" s="42" t="inlineStr">
        <is>
          <t>TOTAL GERAL</t>
        </is>
      </c>
      <c r="B33" s="42" t="n"/>
      <c r="C33" s="42" t="n"/>
      <c r="D33" s="42" t="n"/>
      <c r="E33" s="42" t="n"/>
      <c r="F33" s="43">
        <f>SUM(F6:F22)</f>
        <v/>
      </c>
      <c r="G33" s="43">
        <f>SUM(G6:G22)</f>
        <v/>
      </c>
      <c r="H33" s="43">
        <f>SUM(H6:H22)</f>
        <v/>
      </c>
      <c r="I33" s="43">
        <f>SUM(I6:I22)</f>
        <v/>
      </c>
      <c r="J33" s="43">
        <f>SUM(J6:J22)</f>
        <v/>
      </c>
      <c r="K33" s="43">
        <f>SUM(K6:K22)</f>
        <v/>
      </c>
      <c r="L33" s="44">
        <f>IFERROR(K33/I33,"")</f>
        <v/>
      </c>
      <c r="M33" s="44">
        <f>IFERROR(J33/I33,"")</f>
        <v/>
      </c>
      <c r="N33" s="42" t="n"/>
    </row>
  </sheetData>
  <autoFilter ref="A5:N22"/>
  <mergeCells count="2">
    <mergeCell ref="A2:N2"/>
    <mergeCell ref="A1:N1"/>
  </mergeCells>
  <conditionalFormatting sqref="H6:H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TI-D14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AnyDesk</t>
        </is>
      </c>
      <c r="E20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TI-D09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Bonificação do time</t>
        </is>
      </c>
      <c r="E21" s="36" t="inlineStr">
        <is>
          <t>Cumprimento de prazos e participação em projetos — CONFIRMAR se houve parcela no 1º quadrimestre</t>
        </is>
      </c>
      <c r="F21" s="35" t="inlineStr"/>
      <c r="G21" s="35" t="inlineStr">
        <is>
          <t>Prêmios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2400</v>
      </c>
      <c r="P21" s="37" t="n">
        <v>0</v>
      </c>
      <c r="Q21" s="37" t="n">
        <v>0</v>
      </c>
      <c r="R21" s="37" t="n">
        <v>0</v>
      </c>
      <c r="S21" s="37" t="n">
        <v>3600</v>
      </c>
      <c r="T21" s="45">
        <f>SUM(H21:S21)</f>
        <v/>
      </c>
    </row>
    <row r="22">
      <c r="A22" s="42" t="inlineStr">
        <is>
          <t>TOTAL GERAL</t>
        </is>
      </c>
      <c r="B22" s="42" t="n"/>
      <c r="C22" s="42" t="n"/>
      <c r="D22" s="42" t="n"/>
      <c r="E22" s="42" t="n"/>
      <c r="F22" s="42" t="n"/>
      <c r="G22" s="42" t="n"/>
      <c r="H22" s="43">
        <f>SUM(H5:H21)</f>
        <v/>
      </c>
      <c r="I22" s="43">
        <f>SUM(I5:I21)</f>
        <v/>
      </c>
      <c r="J22" s="43">
        <f>SUM(J5:J21)</f>
        <v/>
      </c>
      <c r="K22" s="43">
        <f>SUM(K5:K21)</f>
        <v/>
      </c>
      <c r="L22" s="43">
        <f>SUM(L5:L21)</f>
        <v/>
      </c>
      <c r="M22" s="43">
        <f>SUM(M5:M21)</f>
        <v/>
      </c>
      <c r="N22" s="43">
        <f>SUM(N5:N21)</f>
        <v/>
      </c>
      <c r="O22" s="43">
        <f>SUM(O5:O21)</f>
        <v/>
      </c>
      <c r="P22" s="43">
        <f>SUM(P5:P21)</f>
        <v/>
      </c>
      <c r="Q22" s="43">
        <f>SUM(Q5:Q21)</f>
        <v/>
      </c>
      <c r="R22" s="43">
        <f>SUM(R5:R21)</f>
        <v/>
      </c>
      <c r="S22" s="43">
        <f>SUM(S5:S21)</f>
        <v/>
      </c>
      <c r="T22" s="43">
        <f>SUM(T5:T21)</f>
        <v/>
      </c>
    </row>
  </sheetData>
  <autoFilter ref="A4:T2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>
      <c r="A22" s="51" t="inlineStr">
        <is>
          <t>TOTAL GERAL</t>
        </is>
      </c>
      <c r="B22" s="51" t="n"/>
      <c r="C22" s="51" t="n"/>
      <c r="D22" s="51" t="n"/>
      <c r="E22" s="51" t="n"/>
      <c r="F22" s="51" t="n"/>
      <c r="G22" s="51" t="n"/>
      <c r="H22" s="52">
        <f>SUM(H5:H21)</f>
        <v/>
      </c>
      <c r="I22" s="52">
        <f>SUM(I5:I21)</f>
        <v/>
      </c>
      <c r="J22" s="52">
        <f>SUM(J5:J21)</f>
        <v/>
      </c>
      <c r="K22" s="52">
        <f>SUM(K5:K21)</f>
        <v/>
      </c>
      <c r="L22" s="52">
        <f>SUM(L5:L21)</f>
        <v/>
      </c>
      <c r="M22" s="52">
        <f>SUM(M5:M21)</f>
        <v/>
      </c>
      <c r="N22" s="52">
        <f>SUM(N5:N21)</f>
        <v/>
      </c>
      <c r="O22" s="52">
        <f>SUM(O5:O21)</f>
        <v/>
      </c>
      <c r="P22" s="52">
        <f>SUM(P5:P21)</f>
        <v/>
      </c>
      <c r="Q22" s="52">
        <f>SUM(Q5:Q21)</f>
        <v/>
      </c>
      <c r="R22" s="52">
        <f>SUM(R5:R21)</f>
        <v/>
      </c>
      <c r="S22" s="52">
        <f>SUM(S5:S21)</f>
        <v/>
      </c>
      <c r="T22" s="52">
        <f>SUM(T5:T21)</f>
        <v/>
      </c>
      <c r="U22" s="51" t="n"/>
      <c r="V22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SUMIFS(Planejado!$H$5:$H$21,Planejado!$B$5:$B$21,"TI")</f>
        <v/>
      </c>
      <c r="C5" s="54">
        <f>SUMIFS(Realizado!$H$5:$H$21,Realizado!$B$5:$B$21,"TI")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SUMIFS(Planejado!$I$5:$I$21,Planejado!$B$5:$B$21,"TI")</f>
        <v/>
      </c>
      <c r="C6" s="37">
        <f>SUMIFS(Realizado!$I$5:$I$21,Realizado!$B$5:$B$21,"TI")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SUMIFS(Planejado!$J$5:$J$21,Planejado!$B$5:$B$21,"TI")</f>
        <v/>
      </c>
      <c r="C7" s="54">
        <f>SUMIFS(Realizado!$J$5:$J$21,Realizado!$B$5:$B$21,"TI")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SUMIFS(Planejado!$K$5:$K$21,Planejado!$B$5:$B$21,"TI")</f>
        <v/>
      </c>
      <c r="C8" s="37">
        <f>SUMIFS(Realizado!$K$5:$K$21,Realizado!$B$5:$B$21,"TI")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SUMIFS(Planejado!$L$5:$L$21,Planejado!$B$5:$B$21,"TI")</f>
        <v/>
      </c>
      <c r="C9" s="54">
        <f>SUMIFS(Realizado!$L$5:$L$21,Realizado!$B$5:$B$21,"TI")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SUMIFS(Planejado!$M$5:$M$21,Planejado!$B$5:$B$21,"TI")</f>
        <v/>
      </c>
      <c r="C10" s="37">
        <f>SUMIFS(Realizado!$M$5:$M$21,Realizado!$B$5:$B$21,"TI")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SUMIFS(Planejado!$N$5:$N$21,Planejado!$B$5:$B$21,"TI")</f>
        <v/>
      </c>
      <c r="C11" s="54">
        <f>SUMIFS(Realizado!$N$5:$N$21,Realizado!$B$5:$B$21,"TI")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SUMIFS(Planejado!$O$5:$O$21,Planejado!$B$5:$B$21,"TI")</f>
        <v/>
      </c>
      <c r="C12" s="37">
        <f>SUMIFS(Realizado!$O$5:$O$21,Realizado!$B$5:$B$21,"TI")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SUMIFS(Planejado!$P$5:$P$21,Planejado!$B$5:$B$21,"TI")</f>
        <v/>
      </c>
      <c r="C13" s="54">
        <f>SUMIFS(Realizado!$P$5:$P$21,Realizado!$B$5:$B$21,"TI")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SUMIFS(Planejado!$Q$5:$Q$21,Planejado!$B$5:$B$21,"TI")</f>
        <v/>
      </c>
      <c r="C14" s="37">
        <f>SUMIFS(Realizado!$Q$5:$Q$21,Realizado!$B$5:$B$21,"TI")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SUMIFS(Planejado!$R$5:$R$21,Planejado!$B$5:$B$21,"TI")</f>
        <v/>
      </c>
      <c r="C15" s="54">
        <f>SUMIFS(Realizado!$R$5:$R$21,Realizado!$B$5:$B$21,"TI")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SUMIFS(Planejado!$S$5:$S$21,Planejado!$B$5:$B$21,"TI")</f>
        <v/>
      </c>
      <c r="C16" s="37">
        <f>SUMIFS(Realizado!$S$5:$S$21,Realizado!$B$5:$B$21,"TI")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SUMIFS(Comparativo!$I$6:$I$22,Comparativo!$E$6:$E$22,$A5,Comparativo!$B$6:$B$22,"TI")</f>
        <v/>
      </c>
      <c r="C5" s="54">
        <f>SUMIFS(Comparativo!$J$6:$J$22,Comparativo!$E$6:$E$22,$A5,Comparativo!$B$6:$B$22,"TI")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SUMIFS(Planejado!$T$5:$T$21,Planejado!$G$5:$G$21,$A5)</f>
        <v/>
      </c>
    </row>
    <row r="6" ht="20" customHeight="1">
      <c r="A6" s="58" t="inlineStr">
        <is>
          <t>Pessoal - PJ</t>
        </is>
      </c>
      <c r="B6" s="37">
        <f>SUMIFS(Comparativo!$I$6:$I$22,Comparativo!$E$6:$E$22,$A6,Comparativo!$B$6:$B$22,"TI")</f>
        <v/>
      </c>
      <c r="C6" s="37">
        <f>SUMIFS(Comparativo!$J$6:$J$22,Comparativo!$E$6:$E$22,$A6,Comparativo!$B$6:$B$22,"TI")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SUMIFS(Planejado!$T$5:$T$21,Planejado!$G$5:$G$21,$A6)</f>
        <v/>
      </c>
    </row>
    <row r="7" ht="20" customHeight="1">
      <c r="A7" s="56" t="inlineStr">
        <is>
          <t>Licenças de Softwares</t>
        </is>
      </c>
      <c r="B7" s="54">
        <f>SUMIFS(Comparativo!$I$6:$I$22,Comparativo!$E$6:$E$22,$A7,Comparativo!$B$6:$B$22,"TI")</f>
        <v/>
      </c>
      <c r="C7" s="54">
        <f>SUMIFS(Comparativo!$J$6:$J$22,Comparativo!$E$6:$E$22,$A7,Comparativo!$B$6:$B$22,"TI")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SUMIFS(Planejado!$T$5:$T$21,Planejado!$G$5:$G$21,$A7)</f>
        <v/>
      </c>
    </row>
    <row r="8" ht="20" customHeight="1">
      <c r="A8" s="58" t="inlineStr">
        <is>
          <t>Custeio de Treinamento</t>
        </is>
      </c>
      <c r="B8" s="37">
        <f>SUMIFS(Comparativo!$I$6:$I$22,Comparativo!$E$6:$E$22,$A8,Comparativo!$B$6:$B$22,"TI")</f>
        <v/>
      </c>
      <c r="C8" s="37">
        <f>SUMIFS(Comparativo!$J$6:$J$22,Comparativo!$E$6:$E$22,$A8,Comparativo!$B$6:$B$22,"TI")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SUMIFS(Planejado!$T$5:$T$21,Planejado!$G$5:$G$21,$A8)</f>
        <v/>
      </c>
    </row>
    <row r="9" ht="20" customHeight="1">
      <c r="A9" s="56" t="inlineStr">
        <is>
          <t>Prêmios</t>
        </is>
      </c>
      <c r="B9" s="54">
        <f>SUMIFS(Comparativo!$I$6:$I$22,Comparativo!$E$6:$E$22,$A9,Comparativo!$B$6:$B$22,"TI")</f>
        <v/>
      </c>
      <c r="C9" s="54">
        <f>SUMIFS(Comparativo!$J$6:$J$22,Comparativo!$E$6:$E$22,$A9,Comparativo!$B$6:$B$22,"TI")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SUMIFS(Planejado!$T$5:$T$21,Planejado!$G$5:$G$21,$A9)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SUMIFS(Comparativo!$I$6:$I$22,Comparativo!$E$6:$E$22,$A10,Comparativo!$B$6:$B$22,"TI")</f>
        <v/>
      </c>
      <c r="C10" s="37">
        <f>SUMIFS(Comparativo!$J$6:$J$22,Comparativo!$E$6:$E$22,$A10,Comparativo!$B$6:$B$22,"TI")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SUMIFS(Planejado!$T$5:$T$21,Planejado!$G$5:$G$21,$A10)</f>
        <v/>
      </c>
    </row>
    <row r="11" ht="20" customHeight="1">
      <c r="A11" s="56" t="inlineStr">
        <is>
          <t>Móveis e Utensílios</t>
        </is>
      </c>
      <c r="B11" s="54">
        <f>SUMIFS(Comparativo!$I$6:$I$22,Comparativo!$E$6:$E$22,$A11,Comparativo!$B$6:$B$22,"TI")</f>
        <v/>
      </c>
      <c r="C11" s="54">
        <f>SUMIFS(Comparativo!$J$6:$J$22,Comparativo!$E$6:$E$22,$A11,Comparativo!$B$6:$B$22,"TI")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SUMIFS(Planejado!$T$5:$T$21,Planejado!$G$5:$G$21,$A11)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— sem custo até jul, renegociado para set</t>
        </is>
      </c>
      <c r="C7" s="6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7" s="6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7" s="62" t="inlineStr">
        <is>
          <t>Cristiane</t>
        </is>
      </c>
      <c r="F7" s="66" t="inlineStr">
        <is>
          <t>RESOLVIDO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7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7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8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7" s="62" t="inlineStr">
        <is>
          <t>Cristiane + Diretoria</t>
        </is>
      </c>
      <c r="F17" s="67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7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6" t="inlineStr">
        <is>
          <t>APLICADO</t>
        </is>
      </c>
    </row>
    <row r="20" ht="58" customHeight="1">
      <c r="A20" s="64" t="inlineStr">
        <is>
          <t>T</t>
        </is>
      </c>
      <c r="B20" s="65" t="inlineStr">
        <is>
          <t>Política de troca 1x1 e empréstimo — IMPLANTAR</t>
        </is>
      </c>
      <c r="C20" s="65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0" s="65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0" s="65" t="inlineStr">
        <is>
          <t>Cristiane</t>
        </is>
      </c>
      <c r="F20" s="68" t="inlineStr">
        <is>
          <t>IMPLANTAR</t>
        </is>
      </c>
    </row>
    <row r="21" ht="58" customHeight="1">
      <c r="A21" s="61" t="inlineStr">
        <is>
          <t>U</t>
        </is>
      </c>
      <c r="B21" s="62" t="inlineStr">
        <is>
          <t>Papelaria não é TI — manter no Administrativo</t>
        </is>
      </c>
      <c r="C21" s="6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1" s="6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1" s="62" t="inlineStr">
        <is>
          <t>Cristiane + Administrativo</t>
        </is>
      </c>
      <c r="F21" s="68" t="inlineStr">
        <is>
          <t>RECOMENDAÇÃO</t>
        </is>
      </c>
    </row>
    <row r="22" ht="58" customHeight="1">
      <c r="A22" s="64" t="inlineStr">
        <is>
          <t>V</t>
        </is>
      </c>
      <c r="B22" s="65" t="inlineStr">
        <is>
          <t>AnyDesk — contratação prevista, definir valor</t>
        </is>
      </c>
      <c r="C22" s="65" t="inlineStr">
        <is>
          <t>Licença de acesso remoto que será contratada e não constava na ficha. Linha criada com planejado zerado, à espera do valor e do mês de início.</t>
        </is>
      </c>
      <c r="D22" s="65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22" s="65" t="inlineStr">
        <is>
          <t>Cristiane</t>
        </is>
      </c>
      <c r="F22" s="68" t="inlineStr">
        <is>
          <t>DEFINIR VALOR</t>
        </is>
      </c>
    </row>
    <row r="23" ht="58" customHeight="1">
      <c r="A23" s="61" t="inlineStr">
        <is>
          <t>W</t>
        </is>
      </c>
      <c r="B23" s="62" t="inlineStr">
        <is>
          <t>Vitor (diretoria) — Claude ou GPT? PERGUNTAR</t>
        </is>
      </c>
      <c r="C23" s="6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3" s="6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3" s="62" t="inlineStr">
        <is>
          <t>Cristiane + Vitor</t>
        </is>
      </c>
      <c r="F23" s="68" t="inlineStr">
        <is>
          <t>PERGUNTAR</t>
        </is>
      </c>
    </row>
    <row r="24" ht="58" customHeight="1">
      <c r="A24" s="64" t="inlineStr">
        <is>
          <t>X</t>
        </is>
      </c>
      <c r="B24" s="65" t="inlineStr">
        <is>
          <t>Mapa de licenças de IA — quem usa o quê</t>
        </is>
      </c>
      <c r="C24" s="65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4" s="65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4" s="65" t="inlineStr">
        <is>
          <t>Cristiane + Vitor</t>
        </is>
      </c>
      <c r="F24" s="68" t="inlineStr">
        <is>
          <t>LEVANTAR</t>
        </is>
      </c>
    </row>
    <row r="25" ht="58" customHeight="1">
      <c r="A25" s="61" t="inlineStr">
        <is>
          <t>6</t>
        </is>
      </c>
      <c r="B25" s="62" t="inlineStr">
        <is>
          <t>Office 365 — nº de licenças</t>
        </is>
      </c>
      <c r="C25" s="62" t="inlineStr">
        <is>
          <t>A observação diz '10 licenças de software – 60 usuários'. Os dois números não fecham entre si.</t>
        </is>
      </c>
      <c r="D25" s="62" t="inlineStr">
        <is>
          <t>Afeta o valor orçado da linha e a projeção de crescimento.</t>
        </is>
      </c>
      <c r="E25" s="62" t="inlineStr">
        <is>
          <t>Cristiane</t>
        </is>
      </c>
      <c r="F25" s="68" t="inlineStr">
        <is>
          <t>EM ABERTO</t>
        </is>
      </c>
    </row>
    <row r="26" ht="58" customHeight="1">
      <c r="A26" s="64" t="inlineStr">
        <is>
          <t>7</t>
        </is>
      </c>
      <c r="B26" s="65" t="inlineStr">
        <is>
          <t>Competência x caixa — DECIDIR O REGIME</t>
        </is>
      </c>
      <c r="C26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6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6" s="65" t="inlineStr">
        <is>
          <t>Cristiane + Financeiro</t>
        </is>
      </c>
      <c r="F26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9" t="n">
        <v>20508.55</v>
      </c>
      <c r="L5" s="80" t="n"/>
    </row>
    <row r="6" ht="22" customHeight="1">
      <c r="A6" s="81" t="inlineStr">
        <is>
          <t>VINICIUS DI FRANCO HEITOR</t>
        </is>
      </c>
      <c r="B6" s="81" t="inlineStr">
        <is>
          <t>T.I</t>
        </is>
      </c>
      <c r="C6" s="82" t="n">
        <v>23</v>
      </c>
      <c r="D6" s="83" t="n">
        <v>2670.84</v>
      </c>
      <c r="E6" s="83" t="n">
        <v>2986.04</v>
      </c>
      <c r="F6" s="83" t="n">
        <v>2778.04</v>
      </c>
      <c r="G6" s="83" t="n">
        <v>2751.04</v>
      </c>
      <c r="H6" s="83" t="n">
        <v>2719.04</v>
      </c>
      <c r="I6" s="83" t="n">
        <v>3633.16</v>
      </c>
      <c r="J6" s="83" t="n">
        <v>2461.04</v>
      </c>
      <c r="K6" s="84" t="n">
        <v>19999.2</v>
      </c>
      <c r="L6" s="85" t="inlineStr">
        <is>
          <t>TI-E01 Vinicius Di Franco</t>
        </is>
      </c>
    </row>
    <row r="7" ht="22" customHeight="1">
      <c r="A7" s="81" t="inlineStr">
        <is>
          <t>OPENAI BRAZIL LIMITADA</t>
        </is>
      </c>
      <c r="B7" s="81" t="inlineStr">
        <is>
          <t>T.I</t>
        </is>
      </c>
      <c r="C7" s="82" t="n">
        <v>4</v>
      </c>
      <c r="D7" s="83" t="n"/>
      <c r="E7" s="83" t="n">
        <v>234.46</v>
      </c>
      <c r="F7" s="83" t="n">
        <v>321.76</v>
      </c>
      <c r="G7" s="83" t="n">
        <v>5393.88</v>
      </c>
      <c r="H7" s="83" t="n"/>
      <c r="I7" s="83" t="n"/>
      <c r="J7" s="83" t="n"/>
      <c r="K7" s="84" t="n">
        <v>5950.1</v>
      </c>
      <c r="L7" s="85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9" t="n">
        <v>5228.139999999999</v>
      </c>
      <c r="L8" s="80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9" t="n">
        <v>3296.12</v>
      </c>
      <c r="L9" s="80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9" t="n">
        <v>3242.61</v>
      </c>
      <c r="L10" s="80" t="n"/>
    </row>
    <row r="11" ht="22" customHeight="1">
      <c r="A11" s="81" t="inlineStr">
        <is>
          <t>Vale Alimentação Vinicius</t>
        </is>
      </c>
      <c r="B11" s="81" t="inlineStr">
        <is>
          <t>T.I</t>
        </is>
      </c>
      <c r="C11" s="82" t="n">
        <v>6</v>
      </c>
      <c r="D11" s="83" t="n"/>
      <c r="E11" s="83" t="n">
        <v>485</v>
      </c>
      <c r="F11" s="83" t="n">
        <v>485</v>
      </c>
      <c r="G11" s="83" t="n">
        <v>485</v>
      </c>
      <c r="H11" s="83" t="n">
        <v>485</v>
      </c>
      <c r="I11" s="83" t="n">
        <v>485</v>
      </c>
      <c r="J11" s="83" t="n">
        <v>485</v>
      </c>
      <c r="K11" s="84" t="n">
        <v>2910</v>
      </c>
      <c r="L11" s="85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9" t="n">
        <v>954.5500000000001</v>
      </c>
      <c r="L12" s="80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9" t="n">
        <v>827.49</v>
      </c>
      <c r="L13" s="80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9" t="n">
        <v>758.53</v>
      </c>
      <c r="L14" s="80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9" t="n">
        <v>690</v>
      </c>
      <c r="L15" s="80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9" t="n">
        <v>562.42</v>
      </c>
      <c r="L16" s="80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9" t="n">
        <v>183.6</v>
      </c>
      <c r="L17" s="80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2026-08-06T17:22:32Z</dcterms:created>
  <dcterms:modified xsi:type="dcterms:W3CDTF">2026-08-06T17:22:33Z</dcterms:modified>
</cp:coreProperties>
</file>