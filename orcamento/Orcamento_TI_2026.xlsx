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role de Equipamentos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'Comparativo'!$A$5:$N$21</definedName>
    <definedName name="_xlnm._FilterDatabase" localSheetId="2" hidden="1">'Planejado'!$A$4:$T$20</definedName>
    <definedName name="_xlnm._FilterDatabase" localSheetId="8" hidden="1">'Controle de Equipamentos'!$A$11:$J$51</definedName>
    <definedName name="_xlnm._FilterDatabase" localSheetId="9" hidden="1">'Contas Pagas (resumo)'!$A$4:$L$17</definedName>
    <definedName name="_xlnm._FilterDatabase" localSheetId="10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1" fillId="2" borderId="0" applyAlignment="1" pivotButton="0" quotePrefix="0" xfId="0">
      <alignment vertical="center" indent="1"/>
    </xf>
    <xf numFmtId="0" fontId="4" fillId="7" borderId="1" pivotButton="0" quotePrefix="0" xfId="0"/>
    <xf numFmtId="0" fontId="3" fillId="9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3" fillId="15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SUMIFS(Planejado!$T$5:$T$20,Planejado!$B$5:$B$20,"TI",Planejado!$C$5:$C$20,"Equipe")</f>
        <v/>
      </c>
      <c r="D6" s="8">
        <f>SUMIFS(Comparativo!$I$6:$I$21,Comparativo!$B$6:$B$21,"TI",Comparativo!$C$6:$C$21,"Equipe")</f>
        <v/>
      </c>
      <c r="E6" s="8">
        <f>SUMIFS(Comparativo!$J$6:$J$21,Comparativo!$B$6:$B$21,"TI",Comparativo!$C$6:$C$21,"Equipe")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COUNTIFS(Comparativo!$P$6:$P$21,"&gt;0",Comparativo!$B$6:$B$21,"TI",Comparativo!$C$6:$C$21,"Equipe")&amp;" de "&amp;COUNTIFS(Comparativo!$A$6:$A$21,"?*",Comparativo!$B$6:$B$21,"TI",Comparativo!$C$6:$C$21,"Equipe")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SUMIFS(Planejado!$T$5:$T$20,Planejado!$B$5:$B$20,"TI",Planejado!$C$5:$C$20,"Despesas")</f>
        <v/>
      </c>
      <c r="D7" s="8">
        <f>SUMIFS(Comparativo!$I$6:$I$21,Comparativo!$B$6:$B$21,"TI",Comparativo!$C$6:$C$21,"Despesas")</f>
        <v/>
      </c>
      <c r="E7" s="8">
        <f>SUMIFS(Comparativo!$J$6:$J$21,Comparativo!$B$6:$B$21,"TI",Comparativo!$C$6:$C$21,"Despesas")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COUNTIFS(Comparativo!$P$6:$P$21,"&gt;0",Comparativo!$B$6:$B$21,"TI",Comparativo!$C$6:$C$21,"Despesas")&amp;" de "&amp;COUNTIFS(Comparativo!$A$6:$A$21,"?*",Comparativo!$B$6:$B$21,"TI",Comparativo!$C$6:$C$21,"Despesas")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SUMIFS(Planejado!$T$5:$T$20,Planejado!$B$5:$B$20,"TI")</f>
        <v/>
      </c>
      <c r="D8" s="12">
        <f>SUMIFS(Comparativo!$I$6:$I$21,Comparativo!$B$6:$B$21,"TI")</f>
        <v/>
      </c>
      <c r="E8" s="12">
        <f>SUMIFS(Comparativo!$J$6:$J$21,Comparativo!$B$6:$B$21,"TI")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COUNTIFS(Comparativo!$P$6:$P$21,"&gt;0",Comparativo!$B$6:$B$21,"TI")&amp;" de "&amp;COUNTIFS(Comparativo!$A$6:$A$21,"?*",Comparativo!$B$6:$B$21,"TI")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-SUMIF(Comparativo!$Q$6:$Q$21,"&lt;0")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-SUMIF(Comparativo!$Q$6:$Q$21,"&gt;0")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-SUM(Comparativo!$Q$6:$Q$21)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IFERROR(-SUM(Comparativo!$Q$6:$Q$21)/Comparativo!$D$3*12,"")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IFERROR(-SUM(Comparativo!$Q$6:$Q$21)/SUM(Comparativo!$S$6:$S$21),"")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IFERROR(INDEX(Comparativo!$D$6:$D$21,MATCH(LARGE(Comparativo!$R$6:$R$21,A21),Comparativo!$R$6:$R$21,0)),"")</f>
        <v/>
      </c>
      <c r="C21" s="26">
        <f>IFERROR(INDEX(Comparativo!$B$6:$B$21,MATCH(LARGE(Comparativo!$R$6:$R$21,A21),Comparativo!$R$6:$R$21,0)),"")</f>
        <v/>
      </c>
      <c r="D21" s="27">
        <f>IFERROR(INDEX(Comparativo!$I$6:$I$21,MATCH(LARGE(Comparativo!$R$6:$R$21,A21),Comparativo!$R$6:$R$21,0)),"")</f>
        <v/>
      </c>
      <c r="E21" s="27">
        <f>IFERROR(INDEX(Comparativo!$J$6:$J$21,MATCH(LARGE(Comparativo!$R$6:$R$21,A21),Comparativo!$R$6:$R$21,0)),"")</f>
        <v/>
      </c>
      <c r="F21" s="28">
        <f>IFERROR(-IFERROR(INDEX(Comparativo!$K$6:$K$21,MATCH(LARGE(Comparativo!$R$6:$R$21,A21),Comparativo!$R$6:$R$21,0)),""),"")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IFERROR(INDEX(Comparativo!$D$6:$D$21,MATCH(LARGE(Comparativo!$R$6:$R$21,A22),Comparativo!$R$6:$R$21,0)),"")</f>
        <v/>
      </c>
      <c r="C22" s="26">
        <f>IFERROR(INDEX(Comparativo!$B$6:$B$21,MATCH(LARGE(Comparativo!$R$6:$R$21,A22),Comparativo!$R$6:$R$21,0)),"")</f>
        <v/>
      </c>
      <c r="D22" s="27">
        <f>IFERROR(INDEX(Comparativo!$I$6:$I$21,MATCH(LARGE(Comparativo!$R$6:$R$21,A22),Comparativo!$R$6:$R$21,0)),"")</f>
        <v/>
      </c>
      <c r="E22" s="27">
        <f>IFERROR(INDEX(Comparativo!$J$6:$J$21,MATCH(LARGE(Comparativo!$R$6:$R$21,A22),Comparativo!$R$6:$R$21,0)),"")</f>
        <v/>
      </c>
      <c r="F22" s="28">
        <f>IFERROR(-IFERROR(INDEX(Comparativo!$K$6:$K$21,MATCH(LARGE(Comparativo!$R$6:$R$21,A22),Comparativo!$R$6:$R$21,0)),""),"")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IFERROR(INDEX(Comparativo!$D$6:$D$21,MATCH(LARGE(Comparativo!$R$6:$R$21,A23),Comparativo!$R$6:$R$21,0)),"")</f>
        <v/>
      </c>
      <c r="C23" s="26">
        <f>IFERROR(INDEX(Comparativo!$B$6:$B$21,MATCH(LARGE(Comparativo!$R$6:$R$21,A23),Comparativo!$R$6:$R$21,0)),"")</f>
        <v/>
      </c>
      <c r="D23" s="27">
        <f>IFERROR(INDEX(Comparativo!$I$6:$I$21,MATCH(LARGE(Comparativo!$R$6:$R$21,A23),Comparativo!$R$6:$R$21,0)),"")</f>
        <v/>
      </c>
      <c r="E23" s="27">
        <f>IFERROR(INDEX(Comparativo!$J$6:$J$21,MATCH(LARGE(Comparativo!$R$6:$R$21,A23),Comparativo!$R$6:$R$21,0)),"")</f>
        <v/>
      </c>
      <c r="F23" s="28">
        <f>IFERROR(-IFERROR(INDEX(Comparativo!$K$6:$K$21,MATCH(LARGE(Comparativo!$R$6:$R$21,A23),Comparativo!$R$6:$R$21,0)),""),"")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IFERROR(INDEX(Comparativo!$D$6:$D$21,MATCH(LARGE(Comparativo!$R$6:$R$21,A24),Comparativo!$R$6:$R$21,0)),"")</f>
        <v/>
      </c>
      <c r="C24" s="26">
        <f>IFERROR(INDEX(Comparativo!$B$6:$B$21,MATCH(LARGE(Comparativo!$R$6:$R$21,A24),Comparativo!$R$6:$R$21,0)),"")</f>
        <v/>
      </c>
      <c r="D24" s="27">
        <f>IFERROR(INDEX(Comparativo!$I$6:$I$21,MATCH(LARGE(Comparativo!$R$6:$R$21,A24),Comparativo!$R$6:$R$21,0)),"")</f>
        <v/>
      </c>
      <c r="E24" s="27">
        <f>IFERROR(INDEX(Comparativo!$J$6:$J$21,MATCH(LARGE(Comparativo!$R$6:$R$21,A24),Comparativo!$R$6:$R$21,0)),"")</f>
        <v/>
      </c>
      <c r="F24" s="28">
        <f>IFERROR(-IFERROR(INDEX(Comparativo!$K$6:$K$21,MATCH(LARGE(Comparativo!$R$6:$R$21,A24),Comparativo!$R$6:$R$21,0)),""),"")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IFERROR(INDEX(Comparativo!$D$6:$D$21,MATCH(LARGE(Comparativo!$R$6:$R$21,A25),Comparativo!$R$6:$R$21,0)),"")</f>
        <v/>
      </c>
      <c r="C25" s="26">
        <f>IFERROR(INDEX(Comparativo!$B$6:$B$21,MATCH(LARGE(Comparativo!$R$6:$R$21,A25),Comparativo!$R$6:$R$21,0)),"")</f>
        <v/>
      </c>
      <c r="D25" s="27">
        <f>IFERROR(INDEX(Comparativo!$I$6:$I$21,MATCH(LARGE(Comparativo!$R$6:$R$21,A25),Comparativo!$R$6:$R$21,0)),"")</f>
        <v/>
      </c>
      <c r="E25" s="27">
        <f>IFERROR(INDEX(Comparativo!$J$6:$J$21,MATCH(LARGE(Comparativo!$R$6:$R$21,A25),Comparativo!$R$6:$R$21,0)),"")</f>
        <v/>
      </c>
      <c r="F25" s="28">
        <f>IFERROR(-IFERROR(INDEX(Comparativo!$K$6:$K$21,MATCH(LARGE(Comparativo!$R$6:$R$21,A25),Comparativo!$R$6:$R$21,0)),""),"")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IFERROR(INDEX(Comparativo!$D$6:$D$21,MATCH(LARGE(Comparativo!$O$6:$O$21,A30),Comparativo!$O$6:$O$21,0)),"")</f>
        <v/>
      </c>
      <c r="C30" s="26">
        <f>IFERROR(INDEX(Comparativo!$B$6:$B$21,MATCH(LARGE(Comparativo!$O$6:$O$21,A30),Comparativo!$O$6:$O$21,0)),"")</f>
        <v/>
      </c>
      <c r="D30" s="27">
        <f>IFERROR(INDEX(Comparativo!$I$6:$I$21,MATCH(LARGE(Comparativo!$O$6:$O$21,A30),Comparativo!$O$6:$O$21,0)),"")</f>
        <v/>
      </c>
      <c r="E30" s="27">
        <f>IFERROR(INDEX(Comparativo!$J$6:$J$21,MATCH(LARGE(Comparativo!$O$6:$O$21,A30),Comparativo!$O$6:$O$21,0)),"")</f>
        <v/>
      </c>
      <c r="F30" s="27">
        <f>IFERROR(INDEX(Comparativo!$K$6:$K$21,MATCH(LARGE(Comparativo!$O$6:$O$21,A30),Comparativo!$O$6:$O$21,0)),"")</f>
        <v/>
      </c>
      <c r="G30" s="29">
        <f>IFERROR(F30/D30,"")</f>
        <v/>
      </c>
    </row>
    <row r="31">
      <c r="A31" s="25" t="n">
        <v>2</v>
      </c>
      <c r="B31" s="26">
        <f>IFERROR(INDEX(Comparativo!$D$6:$D$21,MATCH(LARGE(Comparativo!$O$6:$O$21,A31),Comparativo!$O$6:$O$21,0)),"")</f>
        <v/>
      </c>
      <c r="C31" s="26">
        <f>IFERROR(INDEX(Comparativo!$B$6:$B$21,MATCH(LARGE(Comparativo!$O$6:$O$21,A31),Comparativo!$O$6:$O$21,0)),"")</f>
        <v/>
      </c>
      <c r="D31" s="27">
        <f>IFERROR(INDEX(Comparativo!$I$6:$I$21,MATCH(LARGE(Comparativo!$O$6:$O$21,A31),Comparativo!$O$6:$O$21,0)),"")</f>
        <v/>
      </c>
      <c r="E31" s="27">
        <f>IFERROR(INDEX(Comparativo!$J$6:$J$21,MATCH(LARGE(Comparativo!$O$6:$O$21,A31),Comparativo!$O$6:$O$21,0)),"")</f>
        <v/>
      </c>
      <c r="F31" s="27">
        <f>IFERROR(INDEX(Comparativo!$K$6:$K$21,MATCH(LARGE(Comparativo!$O$6:$O$21,A31),Comparativo!$O$6:$O$21,0)),"")</f>
        <v/>
      </c>
      <c r="G31" s="29">
        <f>IFERROR(F31/D31,"")</f>
        <v/>
      </c>
    </row>
    <row r="32">
      <c r="A32" s="25" t="n">
        <v>3</v>
      </c>
      <c r="B32" s="26">
        <f>IFERROR(INDEX(Comparativo!$D$6:$D$21,MATCH(LARGE(Comparativo!$O$6:$O$21,A32),Comparativo!$O$6:$O$21,0)),"")</f>
        <v/>
      </c>
      <c r="C32" s="26">
        <f>IFERROR(INDEX(Comparativo!$B$6:$B$21,MATCH(LARGE(Comparativo!$O$6:$O$21,A32),Comparativo!$O$6:$O$21,0)),"")</f>
        <v/>
      </c>
      <c r="D32" s="27">
        <f>IFERROR(INDEX(Comparativo!$I$6:$I$21,MATCH(LARGE(Comparativo!$O$6:$O$21,A32),Comparativo!$O$6:$O$21,0)),"")</f>
        <v/>
      </c>
      <c r="E32" s="27">
        <f>IFERROR(INDEX(Comparativo!$J$6:$J$21,MATCH(LARGE(Comparativo!$O$6:$O$21,A32),Comparativo!$O$6:$O$21,0)),"")</f>
        <v/>
      </c>
      <c r="F32" s="27">
        <f>IFERROR(INDEX(Comparativo!$K$6:$K$21,MATCH(LARGE(Comparativo!$O$6:$O$21,A32),Comparativo!$O$6:$O$21,0)),"")</f>
        <v/>
      </c>
      <c r="G32" s="29">
        <f>IFERROR(F32/D32,"")</f>
        <v/>
      </c>
    </row>
    <row r="33">
      <c r="A33" s="25" t="n">
        <v>4</v>
      </c>
      <c r="B33" s="26">
        <f>IFERROR(INDEX(Comparativo!$D$6:$D$21,MATCH(LARGE(Comparativo!$O$6:$O$21,A33),Comparativo!$O$6:$O$21,0)),"")</f>
        <v/>
      </c>
      <c r="C33" s="26">
        <f>IFERROR(INDEX(Comparativo!$B$6:$B$21,MATCH(LARGE(Comparativo!$O$6:$O$21,A33),Comparativo!$O$6:$O$21,0)),"")</f>
        <v/>
      </c>
      <c r="D33" s="27">
        <f>IFERROR(INDEX(Comparativo!$I$6:$I$21,MATCH(LARGE(Comparativo!$O$6:$O$21,A33),Comparativo!$O$6:$O$21,0)),"")</f>
        <v/>
      </c>
      <c r="E33" s="27">
        <f>IFERROR(INDEX(Comparativo!$J$6:$J$21,MATCH(LARGE(Comparativo!$O$6:$O$21,A33),Comparativo!$O$6:$O$21,0)),"")</f>
        <v/>
      </c>
      <c r="F33" s="27">
        <f>IFERROR(INDEX(Comparativo!$K$6:$K$21,MATCH(LARGE(Comparativo!$O$6:$O$21,A33),Comparativo!$O$6:$O$21,0)),"")</f>
        <v/>
      </c>
      <c r="G33" s="29">
        <f>IFERROR(F33/D33,"")</f>
        <v/>
      </c>
    </row>
    <row r="34">
      <c r="A34" s="25" t="n">
        <v>5</v>
      </c>
      <c r="B34" s="26">
        <f>IFERROR(INDEX(Comparativo!$D$6:$D$21,MATCH(LARGE(Comparativo!$O$6:$O$21,A34),Comparativo!$O$6:$O$21,0)),"")</f>
        <v/>
      </c>
      <c r="C34" s="26">
        <f>IFERROR(INDEX(Comparativo!$B$6:$B$21,MATCH(LARGE(Comparativo!$O$6:$O$21,A34),Comparativo!$O$6:$O$21,0)),"")</f>
        <v/>
      </c>
      <c r="D34" s="27">
        <f>IFERROR(INDEX(Comparativo!$I$6:$I$21,MATCH(LARGE(Comparativo!$O$6:$O$21,A34),Comparativo!$O$6:$O$21,0)),"")</f>
        <v/>
      </c>
      <c r="E34" s="27">
        <f>IFERROR(INDEX(Comparativo!$J$6:$J$21,MATCH(LARGE(Comparativo!$O$6:$O$21,A34),Comparativo!$O$6:$O$21,0)),"")</f>
        <v/>
      </c>
      <c r="F34" s="27">
        <f>IFERROR(INDEX(Comparativo!$K$6:$K$21,MATCH(LARGE(Comparativo!$O$6:$O$21,A34),Comparativo!$O$6:$O$21,0)),"")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32">
      <c r="A32" s="42" t="inlineStr">
        <is>
          <t>TOTAL GERAL</t>
        </is>
      </c>
      <c r="B32" s="42" t="n"/>
      <c r="C32" s="42" t="n"/>
      <c r="D32" s="42" t="n"/>
      <c r="E32" s="42" t="n"/>
      <c r="F32" s="43">
        <f>SUM(F6:F21)</f>
        <v/>
      </c>
      <c r="G32" s="43">
        <f>SUM(G6:G21)</f>
        <v/>
      </c>
      <c r="H32" s="43">
        <f>SUM(H6:H21)</f>
        <v/>
      </c>
      <c r="I32" s="43">
        <f>SUM(I6:I21)</f>
        <v/>
      </c>
      <c r="J32" s="43">
        <f>SUM(J6:J21)</f>
        <v/>
      </c>
      <c r="K32" s="43">
        <f>SUM(K6:K21)</f>
        <v/>
      </c>
      <c r="L32" s="44">
        <f>IFERROR(K32/I32,"")</f>
        <v/>
      </c>
      <c r="M32" s="44">
        <f>IFERROR(J32/I32,"")</f>
        <v/>
      </c>
      <c r="N32" s="42" t="n"/>
    </row>
  </sheetData>
  <autoFilter ref="A5:N21"/>
  <mergeCells count="2">
    <mergeCell ref="A2:N2"/>
    <mergeCell ref="A1:N1"/>
  </mergeCells>
  <conditionalFormatting sqref="H6:H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1065</v>
      </c>
      <c r="Q6" s="37" t="n">
        <v>1065</v>
      </c>
      <c r="R6" s="37" t="n">
        <v>1065</v>
      </c>
      <c r="S6" s="37" t="n">
        <v>1065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orçado desde jan/26. As atividades só começaram em abr/26: a contratação foi segurada por três meses</t>
        </is>
      </c>
      <c r="F7" s="35" t="inlineStr">
        <is>
          <t>PJ</t>
        </is>
      </c>
      <c r="G7" s="35" t="inlineStr">
        <is>
          <t>Pessoal - PJ</t>
        </is>
      </c>
      <c r="H7" s="37" t="n">
        <v>10000</v>
      </c>
      <c r="I7" s="37" t="n">
        <v>10000</v>
      </c>
      <c r="J7" s="37" t="n">
        <v>10000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DEFINIR. Pagamentos reais de R$ 575/mês estão lançados no centro de custo Jurídico por engano (ver pendência Q)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TI-D10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Claude</t>
        </is>
      </c>
      <c r="E16" s="36" t="inlineStr">
        <is>
          <t>Ferramenta de IA — não constava na ficha. Planejado a definir com a diretoria. RATEIO A DEFINIR: uso transversal entre as áreas</t>
        </is>
      </c>
      <c r="F16" s="35" t="inlineStr"/>
      <c r="G16" s="35" t="inlineStr">
        <is>
          <t>Licenças de Softwares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45">
        <f>SUM(H16:S16)</f>
        <v/>
      </c>
    </row>
    <row r="17" ht="26" customHeight="1">
      <c r="A17" s="35" t="inlineStr">
        <is>
          <t>TI-D11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GPT</t>
        </is>
      </c>
      <c r="E17" s="36" t="inlineStr">
        <is>
          <t>Ferramenta de IA — não constava na ficha. Planejado a definir com a diretoria. RATEIO A DEFINIR: uso transversal entre as áreas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Adapta One</t>
        </is>
      </c>
      <c r="E18" s="36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Skip</t>
        </is>
      </c>
      <c r="E19" s="36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TI-D09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Bonificação do time</t>
        </is>
      </c>
      <c r="E20" s="36" t="inlineStr">
        <is>
          <t>Cumprimento de prazos e participação em projetos — CONFIRMAR se houve parcela no 1º quadrimestre</t>
        </is>
      </c>
      <c r="F20" s="35" t="inlineStr"/>
      <c r="G20" s="35" t="inlineStr">
        <is>
          <t>Prêmios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2400</v>
      </c>
      <c r="P20" s="37" t="n">
        <v>0</v>
      </c>
      <c r="Q20" s="37" t="n">
        <v>0</v>
      </c>
      <c r="R20" s="37" t="n">
        <v>0</v>
      </c>
      <c r="S20" s="37" t="n">
        <v>3600</v>
      </c>
      <c r="T20" s="45">
        <f>SUM(H20:S20)</f>
        <v/>
      </c>
    </row>
    <row r="21">
      <c r="A21" s="42" t="inlineStr">
        <is>
          <t>TOTAL GERAL</t>
        </is>
      </c>
      <c r="B21" s="42" t="n"/>
      <c r="C21" s="42" t="n"/>
      <c r="D21" s="42" t="n"/>
      <c r="E21" s="42" t="n"/>
      <c r="F21" s="42" t="n"/>
      <c r="G21" s="42" t="n"/>
      <c r="H21" s="43">
        <f>SUM(H5:H20)</f>
        <v/>
      </c>
      <c r="I21" s="43">
        <f>SUM(I5:I20)</f>
        <v/>
      </c>
      <c r="J21" s="43">
        <f>SUM(J5:J20)</f>
        <v/>
      </c>
      <c r="K21" s="43">
        <f>SUM(K5:K20)</f>
        <v/>
      </c>
      <c r="L21" s="43">
        <f>SUM(L5:L20)</f>
        <v/>
      </c>
      <c r="M21" s="43">
        <f>SUM(M5:M20)</f>
        <v/>
      </c>
      <c r="N21" s="43">
        <f>SUM(N5:N20)</f>
        <v/>
      </c>
      <c r="O21" s="43">
        <f>SUM(O5:O20)</f>
        <v/>
      </c>
      <c r="P21" s="43">
        <f>SUM(P5:P20)</f>
        <v/>
      </c>
      <c r="Q21" s="43">
        <f>SUM(Q5:Q20)</f>
        <v/>
      </c>
      <c r="R21" s="43">
        <f>SUM(R5:R20)</f>
        <v/>
      </c>
      <c r="S21" s="43">
        <f>SUM(S5:S20)</f>
        <v/>
      </c>
      <c r="T21" s="43">
        <f>SUM(T5:T20)</f>
        <v/>
      </c>
    </row>
  </sheetData>
  <autoFilter ref="A4:T2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Gestora, 05/08/26</t>
        </is>
      </c>
      <c r="V7" s="50" t="inlineStr">
        <is>
          <t>Sem custo em jan–mar (contratação segurada). R$ 6.300/mês a partir de abr, contra R$ 10.000 orçados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>
      <c r="A21" s="51" t="inlineStr">
        <is>
          <t>TOTAL GERAL</t>
        </is>
      </c>
      <c r="B21" s="51" t="n"/>
      <c r="C21" s="51" t="n"/>
      <c r="D21" s="51" t="n"/>
      <c r="E21" s="51" t="n"/>
      <c r="F21" s="51" t="n"/>
      <c r="G21" s="51" t="n"/>
      <c r="H21" s="52">
        <f>SUM(H5:H20)</f>
        <v/>
      </c>
      <c r="I21" s="52">
        <f>SUM(I5:I20)</f>
        <v/>
      </c>
      <c r="J21" s="52">
        <f>SUM(J5:J20)</f>
        <v/>
      </c>
      <c r="K21" s="52">
        <f>SUM(K5:K20)</f>
        <v/>
      </c>
      <c r="L21" s="52">
        <f>SUM(L5:L20)</f>
        <v/>
      </c>
      <c r="M21" s="52">
        <f>SUM(M5:M20)</f>
        <v/>
      </c>
      <c r="N21" s="52">
        <f>SUM(N5:N20)</f>
        <v/>
      </c>
      <c r="O21" s="52">
        <f>SUM(O5:O20)</f>
        <v/>
      </c>
      <c r="P21" s="52">
        <f>SUM(P5:P20)</f>
        <v/>
      </c>
      <c r="Q21" s="52">
        <f>SUM(Q5:Q20)</f>
        <v/>
      </c>
      <c r="R21" s="52">
        <f>SUM(R5:R20)</f>
        <v/>
      </c>
      <c r="S21" s="52">
        <f>SUM(S5:S20)</f>
        <v/>
      </c>
      <c r="T21" s="52">
        <f>SUM(T5:T20)</f>
        <v/>
      </c>
      <c r="U21" s="51" t="n"/>
      <c r="V21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SUMIFS(Planejado!$H$5:$H$20,Planejado!$B$5:$B$20,"TI")</f>
        <v/>
      </c>
      <c r="C5" s="54">
        <f>SUMIFS(Realizado!$H$5:$H$20,Realizado!$B$5:$B$20,"TI")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SUMIFS(Planejado!$I$5:$I$20,Planejado!$B$5:$B$20,"TI")</f>
        <v/>
      </c>
      <c r="C6" s="37">
        <f>SUMIFS(Realizado!$I$5:$I$20,Realizado!$B$5:$B$20,"TI")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SUMIFS(Planejado!$J$5:$J$20,Planejado!$B$5:$B$20,"TI")</f>
        <v/>
      </c>
      <c r="C7" s="54">
        <f>SUMIFS(Realizado!$J$5:$J$20,Realizado!$B$5:$B$20,"TI")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SUMIFS(Planejado!$K$5:$K$20,Planejado!$B$5:$B$20,"TI")</f>
        <v/>
      </c>
      <c r="C8" s="37">
        <f>SUMIFS(Realizado!$K$5:$K$20,Realizado!$B$5:$B$20,"TI")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SUMIFS(Planejado!$L$5:$L$20,Planejado!$B$5:$B$20,"TI")</f>
        <v/>
      </c>
      <c r="C9" s="54">
        <f>SUMIFS(Realizado!$L$5:$L$20,Realizado!$B$5:$B$20,"TI")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SUMIFS(Planejado!$M$5:$M$20,Planejado!$B$5:$B$20,"TI")</f>
        <v/>
      </c>
      <c r="C10" s="37">
        <f>SUMIFS(Realizado!$M$5:$M$20,Realizado!$B$5:$B$20,"TI")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SUMIFS(Planejado!$N$5:$N$20,Planejado!$B$5:$B$20,"TI")</f>
        <v/>
      </c>
      <c r="C11" s="54">
        <f>SUMIFS(Realizado!$N$5:$N$20,Realizado!$B$5:$B$20,"TI")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SUMIFS(Planejado!$O$5:$O$20,Planejado!$B$5:$B$20,"TI")</f>
        <v/>
      </c>
      <c r="C12" s="37">
        <f>SUMIFS(Realizado!$O$5:$O$20,Realizado!$B$5:$B$20,"TI")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SUMIFS(Planejado!$P$5:$P$20,Planejado!$B$5:$B$20,"TI")</f>
        <v/>
      </c>
      <c r="C13" s="54">
        <f>SUMIFS(Realizado!$P$5:$P$20,Realizado!$B$5:$B$20,"TI")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SUMIFS(Planejado!$Q$5:$Q$20,Planejado!$B$5:$B$20,"TI")</f>
        <v/>
      </c>
      <c r="C14" s="37">
        <f>SUMIFS(Realizado!$Q$5:$Q$20,Realizado!$B$5:$B$20,"TI")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SUMIFS(Planejado!$R$5:$R$20,Planejado!$B$5:$B$20,"TI")</f>
        <v/>
      </c>
      <c r="C15" s="54">
        <f>SUMIFS(Realizado!$R$5:$R$20,Realizado!$B$5:$B$20,"TI")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SUMIFS(Planejado!$S$5:$S$20,Planejado!$B$5:$B$20,"TI")</f>
        <v/>
      </c>
      <c r="C16" s="37">
        <f>SUMIFS(Realizado!$S$5:$S$20,Realizado!$B$5:$B$20,"TI")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SUMIFS(Comparativo!$I$6:$I$21,Comparativo!$E$6:$E$21,$A5,Comparativo!$B$6:$B$21,"TI")</f>
        <v/>
      </c>
      <c r="C5" s="54">
        <f>SUMIFS(Comparativo!$J$6:$J$21,Comparativo!$E$6:$E$21,$A5,Comparativo!$B$6:$B$21,"TI")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SUMIFS(Planejado!$T$5:$T$20,Planejado!$G$5:$G$20,$A5)</f>
        <v/>
      </c>
    </row>
    <row r="6" ht="20" customHeight="1">
      <c r="A6" s="58" t="inlineStr">
        <is>
          <t>Pessoal - PJ</t>
        </is>
      </c>
      <c r="B6" s="37">
        <f>SUMIFS(Comparativo!$I$6:$I$21,Comparativo!$E$6:$E$21,$A6,Comparativo!$B$6:$B$21,"TI")</f>
        <v/>
      </c>
      <c r="C6" s="37">
        <f>SUMIFS(Comparativo!$J$6:$J$21,Comparativo!$E$6:$E$21,$A6,Comparativo!$B$6:$B$21,"TI")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SUMIFS(Planejado!$T$5:$T$20,Planejado!$G$5:$G$20,$A6)</f>
        <v/>
      </c>
    </row>
    <row r="7" ht="20" customHeight="1">
      <c r="A7" s="56" t="inlineStr">
        <is>
          <t>Licenças de Softwares</t>
        </is>
      </c>
      <c r="B7" s="54">
        <f>SUMIFS(Comparativo!$I$6:$I$21,Comparativo!$E$6:$E$21,$A7,Comparativo!$B$6:$B$21,"TI")</f>
        <v/>
      </c>
      <c r="C7" s="54">
        <f>SUMIFS(Comparativo!$J$6:$J$21,Comparativo!$E$6:$E$21,$A7,Comparativo!$B$6:$B$21,"TI")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SUMIFS(Planejado!$T$5:$T$20,Planejado!$G$5:$G$20,$A7)</f>
        <v/>
      </c>
    </row>
    <row r="8" ht="20" customHeight="1">
      <c r="A8" s="58" t="inlineStr">
        <is>
          <t>Custeio de Treinamento</t>
        </is>
      </c>
      <c r="B8" s="37">
        <f>SUMIFS(Comparativo!$I$6:$I$21,Comparativo!$E$6:$E$21,$A8,Comparativo!$B$6:$B$21,"TI")</f>
        <v/>
      </c>
      <c r="C8" s="37">
        <f>SUMIFS(Comparativo!$J$6:$J$21,Comparativo!$E$6:$E$21,$A8,Comparativo!$B$6:$B$21,"TI")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SUMIFS(Planejado!$T$5:$T$20,Planejado!$G$5:$G$20,$A8)</f>
        <v/>
      </c>
    </row>
    <row r="9" ht="20" customHeight="1">
      <c r="A9" s="56" t="inlineStr">
        <is>
          <t>Prêmios</t>
        </is>
      </c>
      <c r="B9" s="54">
        <f>SUMIFS(Comparativo!$I$6:$I$21,Comparativo!$E$6:$E$21,$A9,Comparativo!$B$6:$B$21,"TI")</f>
        <v/>
      </c>
      <c r="C9" s="54">
        <f>SUMIFS(Comparativo!$J$6:$J$21,Comparativo!$E$6:$E$21,$A9,Comparativo!$B$6:$B$21,"TI")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SUMIFS(Planejado!$T$5:$T$20,Planejado!$G$5:$G$20,$A9)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SUMIFS(Comparativo!$I$6:$I$21,Comparativo!$E$6:$E$21,$A10,Comparativo!$B$6:$B$21,"TI")</f>
        <v/>
      </c>
      <c r="C10" s="37">
        <f>SUMIFS(Comparativo!$J$6:$J$21,Comparativo!$E$6:$E$21,$A10,Comparativo!$B$6:$B$21,"TI")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SUMIFS(Planejado!$T$5:$T$20,Planejado!$G$5:$G$20,$A10)</f>
        <v/>
      </c>
    </row>
    <row r="11" ht="20" customHeight="1">
      <c r="A11" s="56" t="inlineStr">
        <is>
          <t>Móveis e Utensílios</t>
        </is>
      </c>
      <c r="B11" s="54">
        <f>SUMIFS(Comparativo!$I$6:$I$21,Comparativo!$E$6:$E$21,$A11,Comparativo!$B$6:$B$21,"TI")</f>
        <v/>
      </c>
      <c r="C11" s="54">
        <f>SUMIFS(Comparativo!$J$6:$J$21,Comparativo!$E$6:$E$21,$A11,Comparativo!$B$6:$B$21,"TI")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SUMIFS(Planejado!$T$5:$T$20,Planejado!$G$5:$G$20,$A11)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— economia de R$ 44.800 até julho</t>
        </is>
      </c>
      <c r="C6" s="65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6" s="65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6" s="65" t="inlineStr">
        <is>
          <t>Cristiane</t>
        </is>
      </c>
      <c r="F6" s="66" t="inlineStr">
        <is>
          <t>RESOLVIDO</t>
        </is>
      </c>
    </row>
    <row r="7" ht="58" customHeight="1">
      <c r="A7" s="61" t="inlineStr">
        <is>
          <t>G</t>
        </is>
      </c>
      <c r="B7" s="62" t="inlineStr">
        <is>
          <t>Elias Benedito zerado nos três meses</t>
        </is>
      </c>
      <c r="C7" s="62" t="inlineStr">
        <is>
          <t>Orçado R$ 1.065/mês como suporte técnico terceirizado, realizado R$ 0 em mai, jun e jul.</t>
        </is>
      </c>
      <c r="D7" s="62" t="inlineStr">
        <is>
          <t>Confirmar se o contrato segue ativo (acionamento sob demanda) ou se foi encerrado. Se encerrado, são R$ 12.780 a liberar no orçamento do ano.</t>
        </is>
      </c>
      <c r="E7" s="62" t="inlineStr">
        <is>
          <t>Cristiane</t>
        </is>
      </c>
      <c r="F7" s="67" t="inlineStr">
        <is>
          <t>EM ABERTO</t>
        </is>
      </c>
    </row>
    <row r="8" ht="58" customHeight="1">
      <c r="A8" s="64" t="inlineStr">
        <is>
          <t>H</t>
        </is>
      </c>
      <c r="B8" s="65" t="inlineStr">
        <is>
          <t>Planejado de jan a abr — conferido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Conferido e validado pela gestora: os valores replicados estão corretos, nenhum ajuste necessário.</t>
        </is>
      </c>
      <c r="E8" s="65" t="inlineStr">
        <is>
          <t>Cristiane</t>
        </is>
      </c>
      <c r="F8" s="66" t="inlineStr">
        <is>
          <t>APLICADO</t>
        </is>
      </c>
    </row>
    <row r="9" ht="58" customHeight="1">
      <c r="A9" s="61" t="inlineStr">
        <is>
          <t>I</t>
        </is>
      </c>
      <c r="B9" s="62" t="inlineStr">
        <is>
          <t>Realizado de ago a dez — a lançar no decorrer do ano</t>
        </is>
      </c>
      <c r="C9" s="62" t="inlineStr">
        <is>
          <t>Jan a jul estão lançados. Ago a dez ficam em branco e serão preenchidos conforme os meses fecharem, com a extração do SIENGE.</t>
        </is>
      </c>
      <c r="D9" s="62" t="inlineStr">
        <is>
          <t>Enquanto isso, o mês de referência do Comparativo deve ficar no último mês fechado (hoje Jul/26) — assim o acumulado compara períodos iguais dos dois lados.</t>
        </is>
      </c>
      <c r="E9" s="62" t="inlineStr">
        <is>
          <t>Cristiane</t>
        </is>
      </c>
      <c r="F9" s="66" t="inlineStr">
        <is>
          <t>APLICADO</t>
        </is>
      </c>
    </row>
    <row r="10" ht="58" customHeight="1">
      <c r="A10" s="64" t="inlineStr">
        <is>
          <t>M</t>
        </is>
      </c>
      <c r="B10" s="65" t="inlineStr">
        <is>
          <t>Despesas fora do orçamento identificadas no extrato</t>
        </is>
      </c>
      <c r="C10" s="65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0" s="65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0" s="65" t="inlineStr">
        <is>
          <t>Cristiane + Diretoria</t>
        </is>
      </c>
      <c r="F10" s="68" t="inlineStr">
        <is>
          <t>PAUTA REUNIÃO</t>
        </is>
      </c>
    </row>
    <row r="11" ht="58" customHeight="1">
      <c r="A11" s="61" t="inlineStr">
        <is>
          <t>J</t>
        </is>
      </c>
      <c r="B11" s="62" t="inlineStr">
        <is>
          <t>Despesas do TI — A LANÇAR</t>
        </is>
      </c>
      <c r="C11" s="62" t="inlineStr">
        <is>
          <t>As 9 linhas de despesas do TI (peças, backup, Adapta, antivírus, Office, sala de reunião, cursos, app de gravação e bonificação) não têm lançamento em nenhum mês.</t>
        </is>
      </c>
      <c r="D11" s="62" t="inlineStr">
        <is>
          <t>São R$ 89.040 orçados no ano, 35% do orçamento do TI. Sem lançamento, o departamento aparece com desvio negativo que é ausência de dado.</t>
        </is>
      </c>
      <c r="E11" s="62" t="inlineStr">
        <is>
          <t>Cristiane</t>
        </is>
      </c>
      <c r="F11" s="63" t="inlineStr">
        <is>
          <t>A LANÇAR</t>
        </is>
      </c>
    </row>
    <row r="12" ht="58" customHeight="1">
      <c r="A12" s="64" t="inlineStr">
        <is>
          <t>1</t>
        </is>
      </c>
      <c r="B12" s="65" t="inlineStr">
        <is>
          <t>Base de meses do TI — Jonathan corrigido para 12 meses</t>
        </is>
      </c>
      <c r="C12" s="65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2" s="65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2" s="65" t="inlineStr">
        <is>
          <t>Cristiane</t>
        </is>
      </c>
      <c r="F12" s="66" t="inlineStr">
        <is>
          <t>RESOLVIDO</t>
        </is>
      </c>
    </row>
    <row r="13" ht="58" customHeight="1">
      <c r="A13" s="61" t="inlineStr">
        <is>
          <t>2</t>
        </is>
      </c>
      <c r="B13" s="62" t="inlineStr">
        <is>
          <t>Origem do valor realizado — DEFINIDA: SIENGE</t>
        </is>
      </c>
      <c r="C13" s="6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3" s="6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3" s="62" t="inlineStr">
        <is>
          <t>Cristiane + Financeiro</t>
        </is>
      </c>
      <c r="F13" s="66" t="inlineStr">
        <is>
          <t>RESOLVIDO</t>
        </is>
      </c>
    </row>
    <row r="14" ht="58" customHeight="1">
      <c r="A14" s="64" t="inlineStr">
        <is>
          <t>Q</t>
        </is>
      </c>
      <c r="B14" s="65" t="inlineStr">
        <is>
          <t>Adapta lançado no centro de custo errado — RECLASSIFICAR</t>
        </is>
      </c>
      <c r="C14" s="65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4" s="65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4" s="65" t="inlineStr">
        <is>
          <t>Cristiane + Financeiro</t>
        </is>
      </c>
      <c r="F14" s="63" t="inlineStr">
        <is>
          <t>RECLASSIFICAR</t>
        </is>
      </c>
    </row>
    <row r="15" ht="58" customHeight="1">
      <c r="A15" s="61" t="inlineStr">
        <is>
          <t>L</t>
        </is>
      </c>
      <c r="B15" s="62" t="inlineStr">
        <is>
          <t>Ferramentas de IA — DEFINIR META E RATEIO</t>
        </is>
      </c>
      <c r="C15" s="62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15" s="62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15" s="62" t="inlineStr">
        <is>
          <t>Cristiane + Diretoria</t>
        </is>
      </c>
      <c r="F15" s="68" t="inlineStr">
        <is>
          <t>PAUTA REUNIÃO</t>
        </is>
      </c>
    </row>
    <row r="16" ht="58" customHeight="1">
      <c r="A16" s="64" t="inlineStr">
        <is>
          <t>4</t>
        </is>
      </c>
      <c r="B16" s="65" t="inlineStr">
        <is>
          <t>Rateio dos softwares corporativos e das IAs</t>
        </is>
      </c>
      <c r="C16" s="65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16" s="65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16" s="65" t="inlineStr">
        <is>
          <t>Cristiane + Controladoria</t>
        </is>
      </c>
      <c r="F16" s="67" t="inlineStr">
        <is>
          <t>EM ABERTO</t>
        </is>
      </c>
    </row>
    <row r="17" ht="58" customHeight="1">
      <c r="A17" s="61" t="inlineStr">
        <is>
          <t>5</t>
        </is>
      </c>
      <c r="B17" s="62" t="inlineStr">
        <is>
          <t>Sala de Reunião — EXECUTAR, PAUSAR OU REPENSAR?</t>
        </is>
      </c>
      <c r="C17" s="62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17" s="62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 SEPARAR OS ITENS: a descrição na ficha mistura infraestrutura de reunião (câmeras, microfones, cadeiras) com material de consumo e brindes (canetas, blocos personalizados, copos, cafeteira). O segundo grupo é papelaria e deveria estar no Administrativo, não no TI (item U).</t>
        </is>
      </c>
      <c r="E17" s="62" t="inlineStr">
        <is>
          <t>Cristiane + Diretoria</t>
        </is>
      </c>
      <c r="F17" s="68" t="inlineStr">
        <is>
          <t>PAUTA REUNIÃO</t>
        </is>
      </c>
    </row>
    <row r="18" ht="58" customHeight="1">
      <c r="A18" s="64" t="inlineStr">
        <is>
          <t>R</t>
        </is>
      </c>
      <c r="B18" s="65" t="inlineStr">
        <is>
          <t>Notebooks — TI compra, mas não enxerga o saldo das áreas</t>
        </is>
      </c>
      <c r="C18" s="65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18" s="65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18" s="65" t="inlineStr">
        <is>
          <t>Cristiane + Diretoria</t>
        </is>
      </c>
      <c r="F18" s="68" t="inlineStr">
        <is>
          <t>PAUTA REUNIÃO</t>
        </is>
      </c>
    </row>
    <row r="19" ht="58" customHeight="1">
      <c r="A19" s="61" t="inlineStr">
        <is>
          <t>S</t>
        </is>
      </c>
      <c r="B19" s="62" t="inlineStr">
        <is>
          <t>Rubricas genéricas — detalhar no lançamento, não no orçamento</t>
        </is>
      </c>
      <c r="C19" s="62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19" s="62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19" s="62" t="inlineStr">
        <is>
          <t>Cristiane</t>
        </is>
      </c>
      <c r="F19" s="66" t="inlineStr">
        <is>
          <t>APLICADO</t>
        </is>
      </c>
    </row>
    <row r="20" ht="58" customHeight="1">
      <c r="A20" s="64" t="inlineStr">
        <is>
          <t>T</t>
        </is>
      </c>
      <c r="B20" s="65" t="inlineStr">
        <is>
          <t>Política de troca 1x1 e empréstimo — IMPLANTAR</t>
        </is>
      </c>
      <c r="C20" s="65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20" s="65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20" s="65" t="inlineStr">
        <is>
          <t>Cristiane</t>
        </is>
      </c>
      <c r="F20" s="67" t="inlineStr">
        <is>
          <t>IMPLANTAR</t>
        </is>
      </c>
    </row>
    <row r="21" ht="58" customHeight="1">
      <c r="A21" s="61" t="inlineStr">
        <is>
          <t>U</t>
        </is>
      </c>
      <c r="B21" s="62" t="inlineStr">
        <is>
          <t>Papelaria não é TI — manter no Administrativo</t>
        </is>
      </c>
      <c r="C21" s="62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21" s="62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21" s="62" t="inlineStr">
        <is>
          <t>Cristiane + Administrativo</t>
        </is>
      </c>
      <c r="F21" s="67" t="inlineStr">
        <is>
          <t>RECOMENDAÇÃO</t>
        </is>
      </c>
    </row>
    <row r="22" ht="58" customHeight="1">
      <c r="A22" s="64" t="inlineStr">
        <is>
          <t>6</t>
        </is>
      </c>
      <c r="B22" s="65" t="inlineStr">
        <is>
          <t>Office 365 — nº de licenças</t>
        </is>
      </c>
      <c r="C22" s="65" t="inlineStr">
        <is>
          <t>A observação diz '10 licenças de software – 60 usuários'. Os dois números não fecham entre si.</t>
        </is>
      </c>
      <c r="D22" s="65" t="inlineStr">
        <is>
          <t>Afeta o valor orçado da linha e a projeção de crescimento.</t>
        </is>
      </c>
      <c r="E22" s="65" t="inlineStr">
        <is>
          <t>Cristiane</t>
        </is>
      </c>
      <c r="F22" s="67" t="inlineStr">
        <is>
          <t>EM ABERTO</t>
        </is>
      </c>
    </row>
    <row r="23" ht="58" customHeight="1">
      <c r="A23" s="61" t="inlineStr">
        <is>
          <t>7</t>
        </is>
      </c>
      <c r="B23" s="62" t="inlineStr">
        <is>
          <t>Competência x caixa — DECIDIR O REGIME</t>
        </is>
      </c>
      <c r="C23" s="62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23" s="62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23" s="62" t="inlineStr">
        <is>
          <t>Cristiane + Financeiro</t>
        </is>
      </c>
      <c r="F23" s="69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PADRÃO DE DESCRIÇÃO</t>
        </is>
      </c>
    </row>
    <row r="12" ht="34" customHeight="1">
      <c r="A12" s="70" t="inlineStr">
        <is>
          <t>Rubricas genéricas</t>
        </is>
      </c>
      <c r="B12" s="71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0" t="inlineStr">
        <is>
          <t>COMO LER OS NÚMEROS</t>
        </is>
      </c>
    </row>
    <row r="15" ht="34" customHeight="1">
      <c r="A15" s="70" t="inlineStr">
        <is>
          <t>Desvio positivo (vermelho)</t>
        </is>
      </c>
      <c r="B15" s="71" t="inlineStr">
        <is>
          <t>Gastou ACIMA do orçado.</t>
        </is>
      </c>
    </row>
    <row r="16" ht="34" customHeight="1">
      <c r="A16" s="70" t="inlineStr">
        <is>
          <t>Desvio negativo (verde)</t>
        </is>
      </c>
      <c r="B16" s="71" t="inlineStr">
        <is>
          <t>Gastou ABAIXO do orçado — economia ou despesa ainda não realizada.</t>
        </is>
      </c>
    </row>
    <row r="17" ht="34" customHeight="1">
      <c r="A17" s="70" t="inlineStr">
        <is>
          <t>Planejado acum.</t>
        </is>
      </c>
      <c r="B17" s="71" t="inlineStr">
        <is>
          <t>Soma de maio até o mês selecionado.</t>
        </is>
      </c>
    </row>
    <row r="18" ht="34" customHeight="1">
      <c r="A18" s="70" t="inlineStr">
        <is>
          <t>% Executado</t>
        </is>
      </c>
      <c r="B18" s="71" t="inlineStr">
        <is>
          <t>Realizado acumulado ÷ Planejado acumulado. Perto de 100% = no ritmo.</t>
        </is>
      </c>
    </row>
    <row r="19" ht="34" customHeight="1">
      <c r="A19" s="70" t="inlineStr">
        <is>
          <t>Sem lançamento</t>
        </is>
      </c>
      <c r="B19" s="71" t="inlineStr">
        <is>
          <t>Nada foi lançado no realizado ainda — não confunda com economia.</t>
        </is>
      </c>
    </row>
    <row r="20" ht="8" customHeight="1"/>
    <row r="21" ht="22" customHeight="1">
      <c r="A21" s="30" t="inlineStr">
        <is>
          <t>REGRAS DA PLANILHA</t>
        </is>
      </c>
    </row>
    <row r="22" ht="34" customHeight="1">
      <c r="A22" s="70" t="inlineStr">
        <is>
          <t>Não altere</t>
        </is>
      </c>
      <c r="B22" s="71" t="inlineStr">
        <is>
          <t>As colunas de identificação da aba Realizado (A a G) são fórmulas que espelham a aba Planejado. Alterar quebra o comparativo.</t>
        </is>
      </c>
    </row>
    <row r="23" ht="34" customHeight="1">
      <c r="A23" s="70" t="inlineStr">
        <is>
          <t>Nova linha de orçamento</t>
        </is>
      </c>
      <c r="B23" s="71" t="inlineStr">
        <is>
          <t>Insira na aba Planejado e replique a mesma linha na aba Realizado e na aba Comparativo, mantendo o mesmo ID.</t>
        </is>
      </c>
    </row>
    <row r="24" ht="34" customHeight="1">
      <c r="A24" s="70" t="inlineStr">
        <is>
          <t>Revisão de orçamento</t>
        </is>
      </c>
      <c r="B24" s="71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0" t="inlineStr">
        <is>
          <t>REGRAS</t>
        </is>
      </c>
    </row>
    <row r="5" ht="30" customHeight="1">
      <c r="A5" s="72" t="inlineStr">
        <is>
          <t>Troca 1x1</t>
        </is>
      </c>
      <c r="B5" s="73" t="inlineStr">
        <is>
          <t>Para receber um item novo, a pessoa entrega o que quebrou. O patrimônio devolvido é registrado na coluna própria.</t>
        </is>
      </c>
      <c r="C5" s="74" t="n"/>
      <c r="D5" s="74" t="n"/>
      <c r="E5" s="74" t="n"/>
      <c r="F5" s="74" t="n"/>
      <c r="G5" s="74" t="n"/>
      <c r="H5" s="74" t="n"/>
      <c r="I5" s="74" t="n"/>
      <c r="J5" s="74" t="n"/>
    </row>
    <row r="6" ht="30" customHeight="1">
      <c r="A6" s="72" t="inlineStr">
        <is>
          <t>Empréstimo</t>
        </is>
      </c>
      <c r="B6" s="73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</row>
    <row r="7" ht="30" customHeight="1">
      <c r="A7" s="72" t="inlineStr">
        <is>
          <t>Sem devolução</t>
        </is>
      </c>
      <c r="B7" s="73" t="inlineStr">
        <is>
          <t>Se a pessoa não entrega o item antigo, a solicitação fica 'Pendente devolução' e não vira compra até ser resolvida.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</row>
    <row r="8" ht="30" customHeight="1">
      <c r="A8" s="72" t="inlineStr">
        <is>
          <t>Aviso de saldo</t>
        </is>
      </c>
      <c r="B8" s="73" t="inlineStr">
        <is>
          <t>Antes de aprovar, conferir o saldo da rubrica da área solicitante. Se a compra for levar ao estouro, avisar a área ANTES de comprar (pendência R).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</row>
    <row r="10" ht="22" customHeight="1">
      <c r="A10" s="75" t="inlineStr">
        <is>
          <t>SOLICITAÇÕES</t>
        </is>
      </c>
    </row>
    <row r="11" ht="30" customHeight="1">
      <c r="A11" s="6" t="inlineStr">
        <is>
          <t>Data</t>
        </is>
      </c>
      <c r="B11" s="6" t="inlineStr">
        <is>
          <t>Área solicitante</t>
        </is>
      </c>
      <c r="C11" s="6" t="inlineStr">
        <is>
          <t>Solicitante</t>
        </is>
      </c>
      <c r="D11" s="6" t="inlineStr">
        <is>
          <t>Item</t>
        </is>
      </c>
      <c r="E11" s="6" t="inlineStr">
        <is>
          <t>Motivo</t>
        </is>
      </c>
      <c r="F11" s="6" t="inlineStr">
        <is>
          <t>Devolveu o antigo?</t>
        </is>
      </c>
      <c r="G11" s="6" t="inlineStr">
        <is>
          <t>Patrimônio devolvido</t>
        </is>
      </c>
      <c r="H11" s="6" t="inlineStr">
        <is>
          <t>Valor estimado</t>
        </is>
      </c>
      <c r="I11" s="6" t="inlineStr">
        <is>
          <t>Status</t>
        </is>
      </c>
      <c r="J11" s="6" t="inlineStr">
        <is>
          <t>Observações</t>
        </is>
      </c>
    </row>
    <row r="12">
      <c r="A12" s="76" t="n"/>
      <c r="B12" s="76" t="n"/>
      <c r="C12" s="76" t="n"/>
      <c r="D12" s="76" t="n"/>
      <c r="E12" s="76" t="n"/>
      <c r="F12" s="76" t="n"/>
      <c r="G12" s="76" t="n"/>
      <c r="H12" s="49" t="n"/>
      <c r="I12" s="76" t="n"/>
      <c r="J12" s="76" t="n"/>
    </row>
    <row r="13">
      <c r="A13" s="76" t="n"/>
      <c r="B13" s="76" t="n"/>
      <c r="C13" s="76" t="n"/>
      <c r="D13" s="76" t="n"/>
      <c r="E13" s="76" t="n"/>
      <c r="F13" s="76" t="n"/>
      <c r="G13" s="76" t="n"/>
      <c r="H13" s="49" t="n"/>
      <c r="I13" s="76" t="n"/>
      <c r="J13" s="76" t="n"/>
    </row>
    <row r="14">
      <c r="A14" s="76" t="n"/>
      <c r="B14" s="76" t="n"/>
      <c r="C14" s="76" t="n"/>
      <c r="D14" s="76" t="n"/>
      <c r="E14" s="76" t="n"/>
      <c r="F14" s="76" t="n"/>
      <c r="G14" s="76" t="n"/>
      <c r="H14" s="49" t="n"/>
      <c r="I14" s="76" t="n"/>
      <c r="J14" s="76" t="n"/>
    </row>
    <row r="15">
      <c r="A15" s="76" t="n"/>
      <c r="B15" s="76" t="n"/>
      <c r="C15" s="76" t="n"/>
      <c r="D15" s="76" t="n"/>
      <c r="E15" s="76" t="n"/>
      <c r="F15" s="76" t="n"/>
      <c r="G15" s="76" t="n"/>
      <c r="H15" s="49" t="n"/>
      <c r="I15" s="76" t="n"/>
      <c r="J15" s="76" t="n"/>
    </row>
    <row r="16">
      <c r="A16" s="76" t="n"/>
      <c r="B16" s="76" t="n"/>
      <c r="C16" s="76" t="n"/>
      <c r="D16" s="76" t="n"/>
      <c r="E16" s="76" t="n"/>
      <c r="F16" s="76" t="n"/>
      <c r="G16" s="76" t="n"/>
      <c r="H16" s="49" t="n"/>
      <c r="I16" s="76" t="n"/>
      <c r="J16" s="76" t="n"/>
    </row>
    <row r="17">
      <c r="A17" s="76" t="n"/>
      <c r="B17" s="76" t="n"/>
      <c r="C17" s="76" t="n"/>
      <c r="D17" s="76" t="n"/>
      <c r="E17" s="76" t="n"/>
      <c r="F17" s="76" t="n"/>
      <c r="G17" s="76" t="n"/>
      <c r="H17" s="49" t="n"/>
      <c r="I17" s="76" t="n"/>
      <c r="J17" s="76" t="n"/>
    </row>
    <row r="18">
      <c r="A18" s="76" t="n"/>
      <c r="B18" s="76" t="n"/>
      <c r="C18" s="76" t="n"/>
      <c r="D18" s="76" t="n"/>
      <c r="E18" s="76" t="n"/>
      <c r="F18" s="76" t="n"/>
      <c r="G18" s="76" t="n"/>
      <c r="H18" s="49" t="n"/>
      <c r="I18" s="76" t="n"/>
      <c r="J18" s="76" t="n"/>
    </row>
    <row r="19">
      <c r="A19" s="76" t="n"/>
      <c r="B19" s="76" t="n"/>
      <c r="C19" s="76" t="n"/>
      <c r="D19" s="76" t="n"/>
      <c r="E19" s="76" t="n"/>
      <c r="F19" s="76" t="n"/>
      <c r="G19" s="76" t="n"/>
      <c r="H19" s="49" t="n"/>
      <c r="I19" s="76" t="n"/>
      <c r="J19" s="76" t="n"/>
    </row>
    <row r="20">
      <c r="A20" s="76" t="n"/>
      <c r="B20" s="76" t="n"/>
      <c r="C20" s="76" t="n"/>
      <c r="D20" s="76" t="n"/>
      <c r="E20" s="76" t="n"/>
      <c r="F20" s="76" t="n"/>
      <c r="G20" s="76" t="n"/>
      <c r="H20" s="49" t="n"/>
      <c r="I20" s="76" t="n"/>
      <c r="J20" s="76" t="n"/>
    </row>
    <row r="21">
      <c r="A21" s="76" t="n"/>
      <c r="B21" s="76" t="n"/>
      <c r="C21" s="76" t="n"/>
      <c r="D21" s="76" t="n"/>
      <c r="E21" s="76" t="n"/>
      <c r="F21" s="76" t="n"/>
      <c r="G21" s="76" t="n"/>
      <c r="H21" s="49" t="n"/>
      <c r="I21" s="76" t="n"/>
      <c r="J21" s="76" t="n"/>
    </row>
    <row r="22">
      <c r="A22" s="76" t="n"/>
      <c r="B22" s="76" t="n"/>
      <c r="C22" s="76" t="n"/>
      <c r="D22" s="76" t="n"/>
      <c r="E22" s="76" t="n"/>
      <c r="F22" s="76" t="n"/>
      <c r="G22" s="76" t="n"/>
      <c r="H22" s="49" t="n"/>
      <c r="I22" s="76" t="n"/>
      <c r="J22" s="76" t="n"/>
    </row>
    <row r="23">
      <c r="A23" s="76" t="n"/>
      <c r="B23" s="76" t="n"/>
      <c r="C23" s="76" t="n"/>
      <c r="D23" s="76" t="n"/>
      <c r="E23" s="76" t="n"/>
      <c r="F23" s="76" t="n"/>
      <c r="G23" s="76" t="n"/>
      <c r="H23" s="49" t="n"/>
      <c r="I23" s="76" t="n"/>
      <c r="J23" s="76" t="n"/>
    </row>
    <row r="24">
      <c r="A24" s="76" t="n"/>
      <c r="B24" s="76" t="n"/>
      <c r="C24" s="76" t="n"/>
      <c r="D24" s="76" t="n"/>
      <c r="E24" s="76" t="n"/>
      <c r="F24" s="76" t="n"/>
      <c r="G24" s="76" t="n"/>
      <c r="H24" s="49" t="n"/>
      <c r="I24" s="76" t="n"/>
      <c r="J24" s="76" t="n"/>
    </row>
    <row r="25">
      <c r="A25" s="76" t="n"/>
      <c r="B25" s="76" t="n"/>
      <c r="C25" s="76" t="n"/>
      <c r="D25" s="76" t="n"/>
      <c r="E25" s="76" t="n"/>
      <c r="F25" s="76" t="n"/>
      <c r="G25" s="76" t="n"/>
      <c r="H25" s="49" t="n"/>
      <c r="I25" s="76" t="n"/>
      <c r="J25" s="76" t="n"/>
    </row>
    <row r="26">
      <c r="A26" s="76" t="n"/>
      <c r="B26" s="76" t="n"/>
      <c r="C26" s="76" t="n"/>
      <c r="D26" s="76" t="n"/>
      <c r="E26" s="76" t="n"/>
      <c r="F26" s="76" t="n"/>
      <c r="G26" s="76" t="n"/>
      <c r="H26" s="49" t="n"/>
      <c r="I26" s="76" t="n"/>
      <c r="J26" s="76" t="n"/>
    </row>
    <row r="27">
      <c r="A27" s="76" t="n"/>
      <c r="B27" s="76" t="n"/>
      <c r="C27" s="76" t="n"/>
      <c r="D27" s="76" t="n"/>
      <c r="E27" s="76" t="n"/>
      <c r="F27" s="76" t="n"/>
      <c r="G27" s="76" t="n"/>
      <c r="H27" s="49" t="n"/>
      <c r="I27" s="76" t="n"/>
      <c r="J27" s="76" t="n"/>
    </row>
    <row r="28">
      <c r="A28" s="76" t="n"/>
      <c r="B28" s="76" t="n"/>
      <c r="C28" s="76" t="n"/>
      <c r="D28" s="76" t="n"/>
      <c r="E28" s="76" t="n"/>
      <c r="F28" s="76" t="n"/>
      <c r="G28" s="76" t="n"/>
      <c r="H28" s="49" t="n"/>
      <c r="I28" s="76" t="n"/>
      <c r="J28" s="76" t="n"/>
    </row>
    <row r="29">
      <c r="A29" s="76" t="n"/>
      <c r="B29" s="76" t="n"/>
      <c r="C29" s="76" t="n"/>
      <c r="D29" s="76" t="n"/>
      <c r="E29" s="76" t="n"/>
      <c r="F29" s="76" t="n"/>
      <c r="G29" s="76" t="n"/>
      <c r="H29" s="49" t="n"/>
      <c r="I29" s="76" t="n"/>
      <c r="J29" s="76" t="n"/>
    </row>
    <row r="30">
      <c r="A30" s="76" t="n"/>
      <c r="B30" s="76" t="n"/>
      <c r="C30" s="76" t="n"/>
      <c r="D30" s="76" t="n"/>
      <c r="E30" s="76" t="n"/>
      <c r="F30" s="76" t="n"/>
      <c r="G30" s="76" t="n"/>
      <c r="H30" s="49" t="n"/>
      <c r="I30" s="76" t="n"/>
      <c r="J30" s="76" t="n"/>
    </row>
    <row r="31">
      <c r="A31" s="76" t="n"/>
      <c r="B31" s="76" t="n"/>
      <c r="C31" s="76" t="n"/>
      <c r="D31" s="76" t="n"/>
      <c r="E31" s="76" t="n"/>
      <c r="F31" s="76" t="n"/>
      <c r="G31" s="76" t="n"/>
      <c r="H31" s="49" t="n"/>
      <c r="I31" s="76" t="n"/>
      <c r="J31" s="76" t="n"/>
    </row>
    <row r="32">
      <c r="A32" s="76" t="n"/>
      <c r="B32" s="76" t="n"/>
      <c r="C32" s="76" t="n"/>
      <c r="D32" s="76" t="n"/>
      <c r="E32" s="76" t="n"/>
      <c r="F32" s="76" t="n"/>
      <c r="G32" s="76" t="n"/>
      <c r="H32" s="49" t="n"/>
      <c r="I32" s="76" t="n"/>
      <c r="J32" s="76" t="n"/>
    </row>
    <row r="33">
      <c r="A33" s="76" t="n"/>
      <c r="B33" s="76" t="n"/>
      <c r="C33" s="76" t="n"/>
      <c r="D33" s="76" t="n"/>
      <c r="E33" s="76" t="n"/>
      <c r="F33" s="76" t="n"/>
      <c r="G33" s="76" t="n"/>
      <c r="H33" s="49" t="n"/>
      <c r="I33" s="76" t="n"/>
      <c r="J33" s="76" t="n"/>
    </row>
    <row r="34">
      <c r="A34" s="76" t="n"/>
      <c r="B34" s="76" t="n"/>
      <c r="C34" s="76" t="n"/>
      <c r="D34" s="76" t="n"/>
      <c r="E34" s="76" t="n"/>
      <c r="F34" s="76" t="n"/>
      <c r="G34" s="76" t="n"/>
      <c r="H34" s="49" t="n"/>
      <c r="I34" s="76" t="n"/>
      <c r="J34" s="76" t="n"/>
    </row>
    <row r="35">
      <c r="A35" s="76" t="n"/>
      <c r="B35" s="76" t="n"/>
      <c r="C35" s="76" t="n"/>
      <c r="D35" s="76" t="n"/>
      <c r="E35" s="76" t="n"/>
      <c r="F35" s="76" t="n"/>
      <c r="G35" s="76" t="n"/>
      <c r="H35" s="49" t="n"/>
      <c r="I35" s="76" t="n"/>
      <c r="J35" s="76" t="n"/>
    </row>
    <row r="36">
      <c r="A36" s="76" t="n"/>
      <c r="B36" s="76" t="n"/>
      <c r="C36" s="76" t="n"/>
      <c r="D36" s="76" t="n"/>
      <c r="E36" s="76" t="n"/>
      <c r="F36" s="76" t="n"/>
      <c r="G36" s="76" t="n"/>
      <c r="H36" s="49" t="n"/>
      <c r="I36" s="76" t="n"/>
      <c r="J36" s="76" t="n"/>
    </row>
    <row r="37">
      <c r="A37" s="76" t="n"/>
      <c r="B37" s="76" t="n"/>
      <c r="C37" s="76" t="n"/>
      <c r="D37" s="76" t="n"/>
      <c r="E37" s="76" t="n"/>
      <c r="F37" s="76" t="n"/>
      <c r="G37" s="76" t="n"/>
      <c r="H37" s="49" t="n"/>
      <c r="I37" s="76" t="n"/>
      <c r="J37" s="76" t="n"/>
    </row>
    <row r="38">
      <c r="A38" s="76" t="n"/>
      <c r="B38" s="76" t="n"/>
      <c r="C38" s="76" t="n"/>
      <c r="D38" s="76" t="n"/>
      <c r="E38" s="76" t="n"/>
      <c r="F38" s="76" t="n"/>
      <c r="G38" s="76" t="n"/>
      <c r="H38" s="49" t="n"/>
      <c r="I38" s="76" t="n"/>
      <c r="J38" s="76" t="n"/>
    </row>
    <row r="39">
      <c r="A39" s="76" t="n"/>
      <c r="B39" s="76" t="n"/>
      <c r="C39" s="76" t="n"/>
      <c r="D39" s="76" t="n"/>
      <c r="E39" s="76" t="n"/>
      <c r="F39" s="76" t="n"/>
      <c r="G39" s="76" t="n"/>
      <c r="H39" s="49" t="n"/>
      <c r="I39" s="76" t="n"/>
      <c r="J39" s="76" t="n"/>
    </row>
    <row r="40">
      <c r="A40" s="76" t="n"/>
      <c r="B40" s="76" t="n"/>
      <c r="C40" s="76" t="n"/>
      <c r="D40" s="76" t="n"/>
      <c r="E40" s="76" t="n"/>
      <c r="F40" s="76" t="n"/>
      <c r="G40" s="76" t="n"/>
      <c r="H40" s="49" t="n"/>
      <c r="I40" s="76" t="n"/>
      <c r="J40" s="76" t="n"/>
    </row>
    <row r="41">
      <c r="A41" s="76" t="n"/>
      <c r="B41" s="76" t="n"/>
      <c r="C41" s="76" t="n"/>
      <c r="D41" s="76" t="n"/>
      <c r="E41" s="76" t="n"/>
      <c r="F41" s="76" t="n"/>
      <c r="G41" s="76" t="n"/>
      <c r="H41" s="49" t="n"/>
      <c r="I41" s="76" t="n"/>
      <c r="J41" s="76" t="n"/>
    </row>
    <row r="42">
      <c r="A42" s="76" t="n"/>
      <c r="B42" s="76" t="n"/>
      <c r="C42" s="76" t="n"/>
      <c r="D42" s="76" t="n"/>
      <c r="E42" s="76" t="n"/>
      <c r="F42" s="76" t="n"/>
      <c r="G42" s="76" t="n"/>
      <c r="H42" s="49" t="n"/>
      <c r="I42" s="76" t="n"/>
      <c r="J42" s="76" t="n"/>
    </row>
    <row r="43">
      <c r="A43" s="76" t="n"/>
      <c r="B43" s="76" t="n"/>
      <c r="C43" s="76" t="n"/>
      <c r="D43" s="76" t="n"/>
      <c r="E43" s="76" t="n"/>
      <c r="F43" s="76" t="n"/>
      <c r="G43" s="76" t="n"/>
      <c r="H43" s="49" t="n"/>
      <c r="I43" s="76" t="n"/>
      <c r="J43" s="76" t="n"/>
    </row>
    <row r="44">
      <c r="A44" s="76" t="n"/>
      <c r="B44" s="76" t="n"/>
      <c r="C44" s="76" t="n"/>
      <c r="D44" s="76" t="n"/>
      <c r="E44" s="76" t="n"/>
      <c r="F44" s="76" t="n"/>
      <c r="G44" s="76" t="n"/>
      <c r="H44" s="49" t="n"/>
      <c r="I44" s="76" t="n"/>
      <c r="J44" s="76" t="n"/>
    </row>
    <row r="45">
      <c r="A45" s="76" t="n"/>
      <c r="B45" s="76" t="n"/>
      <c r="C45" s="76" t="n"/>
      <c r="D45" s="76" t="n"/>
      <c r="E45" s="76" t="n"/>
      <c r="F45" s="76" t="n"/>
      <c r="G45" s="76" t="n"/>
      <c r="H45" s="49" t="n"/>
      <c r="I45" s="76" t="n"/>
      <c r="J45" s="76" t="n"/>
    </row>
    <row r="46">
      <c r="A46" s="76" t="n"/>
      <c r="B46" s="76" t="n"/>
      <c r="C46" s="76" t="n"/>
      <c r="D46" s="76" t="n"/>
      <c r="E46" s="76" t="n"/>
      <c r="F46" s="76" t="n"/>
      <c r="G46" s="76" t="n"/>
      <c r="H46" s="49" t="n"/>
      <c r="I46" s="76" t="n"/>
      <c r="J46" s="76" t="n"/>
    </row>
    <row r="47">
      <c r="A47" s="76" t="n"/>
      <c r="B47" s="76" t="n"/>
      <c r="C47" s="76" t="n"/>
      <c r="D47" s="76" t="n"/>
      <c r="E47" s="76" t="n"/>
      <c r="F47" s="76" t="n"/>
      <c r="G47" s="76" t="n"/>
      <c r="H47" s="49" t="n"/>
      <c r="I47" s="76" t="n"/>
      <c r="J47" s="76" t="n"/>
    </row>
    <row r="48">
      <c r="A48" s="76" t="n"/>
      <c r="B48" s="76" t="n"/>
      <c r="C48" s="76" t="n"/>
      <c r="D48" s="76" t="n"/>
      <c r="E48" s="76" t="n"/>
      <c r="F48" s="76" t="n"/>
      <c r="G48" s="76" t="n"/>
      <c r="H48" s="49" t="n"/>
      <c r="I48" s="76" t="n"/>
      <c r="J48" s="76" t="n"/>
    </row>
    <row r="49">
      <c r="A49" s="76" t="n"/>
      <c r="B49" s="76" t="n"/>
      <c r="C49" s="76" t="n"/>
      <c r="D49" s="76" t="n"/>
      <c r="E49" s="76" t="n"/>
      <c r="F49" s="76" t="n"/>
      <c r="G49" s="76" t="n"/>
      <c r="H49" s="49" t="n"/>
      <c r="I49" s="76" t="n"/>
      <c r="J49" s="76" t="n"/>
    </row>
    <row r="50">
      <c r="A50" s="76" t="n"/>
      <c r="B50" s="76" t="n"/>
      <c r="C50" s="76" t="n"/>
      <c r="D50" s="76" t="n"/>
      <c r="E50" s="76" t="n"/>
      <c r="F50" s="76" t="n"/>
      <c r="G50" s="76" t="n"/>
      <c r="H50" s="49" t="n"/>
      <c r="I50" s="76" t="n"/>
      <c r="J50" s="76" t="n"/>
    </row>
    <row r="51">
      <c r="A51" s="76" t="n"/>
      <c r="B51" s="76" t="n"/>
      <c r="C51" s="76" t="n"/>
      <c r="D51" s="76" t="n"/>
      <c r="E51" s="76" t="n"/>
      <c r="F51" s="76" t="n"/>
      <c r="G51" s="76" t="n"/>
      <c r="H51" s="49" t="n"/>
      <c r="I51" s="76" t="n"/>
      <c r="J51" s="76" t="n"/>
    </row>
    <row r="53" ht="22" customHeight="1">
      <c r="A53" s="24" t="inlineStr">
        <is>
          <t>EMPRÉSTIMOS (equipamento reserva)</t>
        </is>
      </c>
    </row>
    <row r="54" ht="30" customHeight="1">
      <c r="A54" s="77" t="inlineStr">
        <is>
          <t>Item emprestado</t>
        </is>
      </c>
      <c r="B54" s="77" t="inlineStr">
        <is>
          <t>Patrimônio</t>
        </is>
      </c>
      <c r="C54" s="77" t="inlineStr">
        <is>
          <t>Área</t>
        </is>
      </c>
      <c r="D54" s="77" t="inlineStr">
        <is>
          <t>Pessoa</t>
        </is>
      </c>
      <c r="E54" s="77" t="inlineStr">
        <is>
          <t>Saída em</t>
        </is>
      </c>
      <c r="F54" s="77" t="inlineStr">
        <is>
          <t>Previsão de devolução</t>
        </is>
      </c>
      <c r="G54" s="77" t="inlineStr">
        <is>
          <t>Devolvido em</t>
        </is>
      </c>
      <c r="H54" s="77" t="inlineStr">
        <is>
          <t>Status</t>
        </is>
      </c>
      <c r="I54" s="77" t="inlineStr">
        <is>
          <t>Dias em posse</t>
        </is>
      </c>
      <c r="J54" s="77" t="inlineStr">
        <is>
          <t>Observações</t>
        </is>
      </c>
    </row>
    <row r="55">
      <c r="A55" s="76" t="n"/>
      <c r="B55" s="76" t="n"/>
      <c r="C55" s="76" t="n"/>
      <c r="D55" s="76" t="n"/>
      <c r="E55" s="76" t="n"/>
      <c r="F55" s="76" t="n"/>
      <c r="G55" s="76" t="n"/>
      <c r="H55" s="76" t="n"/>
      <c r="I55" s="78">
        <f>IF(E55="","",IF(G55="",TODAY()-E55,G55-E55))</f>
        <v/>
      </c>
      <c r="J55" s="76" t="n"/>
    </row>
    <row r="56">
      <c r="A56" s="76" t="n"/>
      <c r="B56" s="76" t="n"/>
      <c r="C56" s="76" t="n"/>
      <c r="D56" s="76" t="n"/>
      <c r="E56" s="76" t="n"/>
      <c r="F56" s="76" t="n"/>
      <c r="G56" s="76" t="n"/>
      <c r="H56" s="76" t="n"/>
      <c r="I56" s="78">
        <f>IF(E56="","",IF(G56="",TODAY()-E56,G56-E56))</f>
        <v/>
      </c>
      <c r="J56" s="76" t="n"/>
    </row>
    <row r="57">
      <c r="A57" s="76" t="n"/>
      <c r="B57" s="76" t="n"/>
      <c r="C57" s="76" t="n"/>
      <c r="D57" s="76" t="n"/>
      <c r="E57" s="76" t="n"/>
      <c r="F57" s="76" t="n"/>
      <c r="G57" s="76" t="n"/>
      <c r="H57" s="76" t="n"/>
      <c r="I57" s="78">
        <f>IF(E57="","",IF(G57="",TODAY()-E57,G57-E57))</f>
        <v/>
      </c>
      <c r="J57" s="76" t="n"/>
    </row>
    <row r="58">
      <c r="A58" s="76" t="n"/>
      <c r="B58" s="76" t="n"/>
      <c r="C58" s="76" t="n"/>
      <c r="D58" s="76" t="n"/>
      <c r="E58" s="76" t="n"/>
      <c r="F58" s="76" t="n"/>
      <c r="G58" s="76" t="n"/>
      <c r="H58" s="76" t="n"/>
      <c r="I58" s="78">
        <f>IF(E58="","",IF(G58="",TODAY()-E58,G58-E58))</f>
        <v/>
      </c>
      <c r="J58" s="76" t="n"/>
    </row>
    <row r="59">
      <c r="A59" s="76" t="n"/>
      <c r="B59" s="76" t="n"/>
      <c r="C59" s="76" t="n"/>
      <c r="D59" s="76" t="n"/>
      <c r="E59" s="76" t="n"/>
      <c r="F59" s="76" t="n"/>
      <c r="G59" s="76" t="n"/>
      <c r="H59" s="76" t="n"/>
      <c r="I59" s="78">
        <f>IF(E59="","",IF(G59="",TODAY()-E59,G59-E59))</f>
        <v/>
      </c>
      <c r="J59" s="76" t="n"/>
    </row>
    <row r="60">
      <c r="A60" s="76" t="n"/>
      <c r="B60" s="76" t="n"/>
      <c r="C60" s="76" t="n"/>
      <c r="D60" s="76" t="n"/>
      <c r="E60" s="76" t="n"/>
      <c r="F60" s="76" t="n"/>
      <c r="G60" s="76" t="n"/>
      <c r="H60" s="76" t="n"/>
      <c r="I60" s="78">
        <f>IF(E60="","",IF(G60="",TODAY()-E60,G60-E60))</f>
        <v/>
      </c>
      <c r="J60" s="76" t="n"/>
    </row>
    <row r="61">
      <c r="A61" s="76" t="n"/>
      <c r="B61" s="76" t="n"/>
      <c r="C61" s="76" t="n"/>
      <c r="D61" s="76" t="n"/>
      <c r="E61" s="76" t="n"/>
      <c r="F61" s="76" t="n"/>
      <c r="G61" s="76" t="n"/>
      <c r="H61" s="76" t="n"/>
      <c r="I61" s="78">
        <f>IF(E61="","",IF(G61="",TODAY()-E61,G61-E61))</f>
        <v/>
      </c>
      <c r="J61" s="76" t="n"/>
    </row>
    <row r="62">
      <c r="A62" s="76" t="n"/>
      <c r="B62" s="76" t="n"/>
      <c r="C62" s="76" t="n"/>
      <c r="D62" s="76" t="n"/>
      <c r="E62" s="76" t="n"/>
      <c r="F62" s="76" t="n"/>
      <c r="G62" s="76" t="n"/>
      <c r="H62" s="76" t="n"/>
      <c r="I62" s="78">
        <f>IF(E62="","",IF(G62="",TODAY()-E62,G62-E62))</f>
        <v/>
      </c>
      <c r="J62" s="76" t="n"/>
    </row>
    <row r="63">
      <c r="A63" s="76" t="n"/>
      <c r="B63" s="76" t="n"/>
      <c r="C63" s="76" t="n"/>
      <c r="D63" s="76" t="n"/>
      <c r="E63" s="76" t="n"/>
      <c r="F63" s="76" t="n"/>
      <c r="G63" s="76" t="n"/>
      <c r="H63" s="76" t="n"/>
      <c r="I63" s="78">
        <f>IF(E63="","",IF(G63="",TODAY()-E63,G63-E63))</f>
        <v/>
      </c>
      <c r="J63" s="76" t="n"/>
    </row>
    <row r="64">
      <c r="A64" s="76" t="n"/>
      <c r="B64" s="76" t="n"/>
      <c r="C64" s="76" t="n"/>
      <c r="D64" s="76" t="n"/>
      <c r="E64" s="76" t="n"/>
      <c r="F64" s="76" t="n"/>
      <c r="G64" s="76" t="n"/>
      <c r="H64" s="76" t="n"/>
      <c r="I64" s="78">
        <f>IF(E64="","",IF(G64="",TODAY()-E64,G64-E64))</f>
        <v/>
      </c>
      <c r="J64" s="76" t="n"/>
    </row>
    <row r="65">
      <c r="A65" s="76" t="n"/>
      <c r="B65" s="76" t="n"/>
      <c r="C65" s="76" t="n"/>
      <c r="D65" s="76" t="n"/>
      <c r="E65" s="76" t="n"/>
      <c r="F65" s="76" t="n"/>
      <c r="G65" s="76" t="n"/>
      <c r="H65" s="76" t="n"/>
      <c r="I65" s="78">
        <f>IF(E65="","",IF(G65="",TODAY()-E65,G65-E65))</f>
        <v/>
      </c>
      <c r="J65" s="76" t="n"/>
    </row>
    <row r="66">
      <c r="A66" s="76" t="n"/>
      <c r="B66" s="76" t="n"/>
      <c r="C66" s="76" t="n"/>
      <c r="D66" s="76" t="n"/>
      <c r="E66" s="76" t="n"/>
      <c r="F66" s="76" t="n"/>
      <c r="G66" s="76" t="n"/>
      <c r="H66" s="76" t="n"/>
      <c r="I66" s="78">
        <f>IF(E66="","",IF(G66="",TODAY()-E66,G66-E66))</f>
        <v/>
      </c>
      <c r="J66" s="76" t="n"/>
    </row>
    <row r="67">
      <c r="A67" s="76" t="n"/>
      <c r="B67" s="76" t="n"/>
      <c r="C67" s="76" t="n"/>
      <c r="D67" s="76" t="n"/>
      <c r="E67" s="76" t="n"/>
      <c r="F67" s="76" t="n"/>
      <c r="G67" s="76" t="n"/>
      <c r="H67" s="76" t="n"/>
      <c r="I67" s="78">
        <f>IF(E67="","",IF(G67="",TODAY()-E67,G67-E67))</f>
        <v/>
      </c>
      <c r="J67" s="76" t="n"/>
    </row>
    <row r="68">
      <c r="A68" s="76" t="n"/>
      <c r="B68" s="76" t="n"/>
      <c r="C68" s="76" t="n"/>
      <c r="D68" s="76" t="n"/>
      <c r="E68" s="76" t="n"/>
      <c r="F68" s="76" t="n"/>
      <c r="G68" s="76" t="n"/>
      <c r="H68" s="76" t="n"/>
      <c r="I68" s="78">
        <f>IF(E68="","",IF(G68="",TODAY()-E68,G68-E68))</f>
        <v/>
      </c>
      <c r="J68" s="76" t="n"/>
    </row>
    <row r="69">
      <c r="A69" s="76" t="n"/>
      <c r="B69" s="76" t="n"/>
      <c r="C69" s="76" t="n"/>
      <c r="D69" s="76" t="n"/>
      <c r="E69" s="76" t="n"/>
      <c r="F69" s="76" t="n"/>
      <c r="G69" s="76" t="n"/>
      <c r="H69" s="76" t="n"/>
      <c r="I69" s="78">
        <f>IF(E69="","",IF(G69="",TODAY()-E69,G69-E69))</f>
        <v/>
      </c>
      <c r="J69" s="76" t="n"/>
    </row>
    <row r="70">
      <c r="A70" s="76" t="n"/>
      <c r="B70" s="76" t="n"/>
      <c r="C70" s="76" t="n"/>
      <c r="D70" s="76" t="n"/>
      <c r="E70" s="76" t="n"/>
      <c r="F70" s="76" t="n"/>
      <c r="G70" s="76" t="n"/>
      <c r="H70" s="76" t="n"/>
      <c r="I70" s="78">
        <f>IF(E70="","",IF(G70="",TODAY()-E70,G70-E70))</f>
        <v/>
      </c>
      <c r="J70" s="76" t="n"/>
    </row>
    <row r="71">
      <c r="A71" s="76" t="n"/>
      <c r="B71" s="76" t="n"/>
      <c r="C71" s="76" t="n"/>
      <c r="D71" s="76" t="n"/>
      <c r="E71" s="76" t="n"/>
      <c r="F71" s="76" t="n"/>
      <c r="G71" s="76" t="n"/>
      <c r="H71" s="76" t="n"/>
      <c r="I71" s="78">
        <f>IF(E71="","",IF(G71="",TODAY()-E71,G71-E71))</f>
        <v/>
      </c>
      <c r="J71" s="76" t="n"/>
    </row>
    <row r="72">
      <c r="A72" s="76" t="n"/>
      <c r="B72" s="76" t="n"/>
      <c r="C72" s="76" t="n"/>
      <c r="D72" s="76" t="n"/>
      <c r="E72" s="76" t="n"/>
      <c r="F72" s="76" t="n"/>
      <c r="G72" s="76" t="n"/>
      <c r="H72" s="76" t="n"/>
      <c r="I72" s="78">
        <f>IF(E72="","",IF(G72="",TODAY()-E72,G72-E72))</f>
        <v/>
      </c>
      <c r="J72" s="76" t="n"/>
    </row>
    <row r="73">
      <c r="A73" s="76" t="n"/>
      <c r="B73" s="76" t="n"/>
      <c r="C73" s="76" t="n"/>
      <c r="D73" s="76" t="n"/>
      <c r="E73" s="76" t="n"/>
      <c r="F73" s="76" t="n"/>
      <c r="G73" s="76" t="n"/>
      <c r="H73" s="76" t="n"/>
      <c r="I73" s="78">
        <f>IF(E73="","",IF(G73="",TODAY()-E73,G73-E73))</f>
        <v/>
      </c>
      <c r="J73" s="76" t="n"/>
    </row>
    <row r="74">
      <c r="A74" s="76" t="n"/>
      <c r="B74" s="76" t="n"/>
      <c r="C74" s="76" t="n"/>
      <c r="D74" s="76" t="n"/>
      <c r="E74" s="76" t="n"/>
      <c r="F74" s="76" t="n"/>
      <c r="G74" s="76" t="n"/>
      <c r="H74" s="76" t="n"/>
      <c r="I74" s="78">
        <f>IF(E74="","",IF(G74="",TODAY()-E74,G74-E74))</f>
        <v/>
      </c>
      <c r="J74" s="76" t="n"/>
    </row>
    <row r="75">
      <c r="A75" s="76" t="n"/>
      <c r="B75" s="76" t="n"/>
      <c r="C75" s="76" t="n"/>
      <c r="D75" s="76" t="n"/>
      <c r="E75" s="76" t="n"/>
      <c r="F75" s="76" t="n"/>
      <c r="G75" s="76" t="n"/>
      <c r="H75" s="76" t="n"/>
      <c r="I75" s="78">
        <f>IF(E75="","",IF(G75="",TODAY()-E75,G75-E75))</f>
        <v/>
      </c>
      <c r="J75" s="76" t="n"/>
    </row>
    <row r="76">
      <c r="A76" s="76" t="n"/>
      <c r="B76" s="76" t="n"/>
      <c r="C76" s="76" t="n"/>
      <c r="D76" s="76" t="n"/>
      <c r="E76" s="76" t="n"/>
      <c r="F76" s="76" t="n"/>
      <c r="G76" s="76" t="n"/>
      <c r="H76" s="76" t="n"/>
      <c r="I76" s="78">
        <f>IF(E76="","",IF(G76="",TODAY()-E76,G76-E76))</f>
        <v/>
      </c>
      <c r="J76" s="76" t="n"/>
    </row>
    <row r="77">
      <c r="A77" s="76" t="n"/>
      <c r="B77" s="76" t="n"/>
      <c r="C77" s="76" t="n"/>
      <c r="D77" s="76" t="n"/>
      <c r="E77" s="76" t="n"/>
      <c r="F77" s="76" t="n"/>
      <c r="G77" s="76" t="n"/>
      <c r="H77" s="76" t="n"/>
      <c r="I77" s="78">
        <f>IF(E77="","",IF(G77="",TODAY()-E77,G77-E77))</f>
        <v/>
      </c>
      <c r="J77" s="76" t="n"/>
    </row>
    <row r="78">
      <c r="A78" s="76" t="n"/>
      <c r="B78" s="76" t="n"/>
      <c r="C78" s="76" t="n"/>
      <c r="D78" s="76" t="n"/>
      <c r="E78" s="76" t="n"/>
      <c r="F78" s="76" t="n"/>
      <c r="G78" s="76" t="n"/>
      <c r="H78" s="76" t="n"/>
      <c r="I78" s="78">
        <f>IF(E78="","",IF(G78="",TODAY()-E78,G78-E78))</f>
        <v/>
      </c>
      <c r="J78" s="76" t="n"/>
    </row>
    <row r="79">
      <c r="A79" s="76" t="n"/>
      <c r="B79" s="76" t="n"/>
      <c r="C79" s="76" t="n"/>
      <c r="D79" s="76" t="n"/>
      <c r="E79" s="76" t="n"/>
      <c r="F79" s="76" t="n"/>
      <c r="G79" s="76" t="n"/>
      <c r="H79" s="76" t="n"/>
      <c r="I79" s="78">
        <f>IF(E79="","",IF(G79="",TODAY()-E79,G79-E79))</f>
        <v/>
      </c>
      <c r="J79" s="76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56" t="inlineStr">
        <is>
          <t>J H ALVES - MONITOR REMOTO</t>
        </is>
      </c>
      <c r="B5" s="56" t="inlineStr">
        <is>
          <t>T.I</t>
        </is>
      </c>
      <c r="C5" s="53" t="n">
        <v>4</v>
      </c>
      <c r="D5" s="54" t="n">
        <v>4311.56</v>
      </c>
      <c r="E5" s="54" t="n"/>
      <c r="F5" s="54" t="n"/>
      <c r="G5" s="54" t="n"/>
      <c r="H5" s="54" t="n">
        <v>3723.62</v>
      </c>
      <c r="I5" s="54" t="n">
        <v>6173.37</v>
      </c>
      <c r="J5" s="54" t="n">
        <v>6300</v>
      </c>
      <c r="K5" s="79" t="n">
        <v>20508.55</v>
      </c>
      <c r="L5" s="80" t="n"/>
    </row>
    <row r="6" ht="22" customHeight="1">
      <c r="A6" s="81" t="inlineStr">
        <is>
          <t>VINICIUS DI FRANCO HEITOR</t>
        </is>
      </c>
      <c r="B6" s="81" t="inlineStr">
        <is>
          <t>T.I</t>
        </is>
      </c>
      <c r="C6" s="82" t="n">
        <v>23</v>
      </c>
      <c r="D6" s="83" t="n">
        <v>2670.84</v>
      </c>
      <c r="E6" s="83" t="n">
        <v>2986.04</v>
      </c>
      <c r="F6" s="83" t="n">
        <v>2778.04</v>
      </c>
      <c r="G6" s="83" t="n">
        <v>2751.04</v>
      </c>
      <c r="H6" s="83" t="n">
        <v>2719.04</v>
      </c>
      <c r="I6" s="83" t="n">
        <v>3633.16</v>
      </c>
      <c r="J6" s="83" t="n">
        <v>2461.04</v>
      </c>
      <c r="K6" s="84" t="n">
        <v>19999.2</v>
      </c>
      <c r="L6" s="85" t="inlineStr">
        <is>
          <t>TI-E01 Vinicius Di Franco</t>
        </is>
      </c>
    </row>
    <row r="7" ht="22" customHeight="1">
      <c r="A7" s="81" t="inlineStr">
        <is>
          <t>OPENAI BRAZIL LIMITADA</t>
        </is>
      </c>
      <c r="B7" s="81" t="inlineStr">
        <is>
          <t>T.I</t>
        </is>
      </c>
      <c r="C7" s="82" t="n">
        <v>4</v>
      </c>
      <c r="D7" s="83" t="n"/>
      <c r="E7" s="83" t="n">
        <v>234.46</v>
      </c>
      <c r="F7" s="83" t="n">
        <v>321.76</v>
      </c>
      <c r="G7" s="83" t="n">
        <v>5393.88</v>
      </c>
      <c r="H7" s="83" t="n"/>
      <c r="I7" s="83" t="n"/>
      <c r="J7" s="83" t="n"/>
      <c r="K7" s="84" t="n">
        <v>5950.1</v>
      </c>
      <c r="L7" s="85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79" t="n">
        <v>5228.139999999999</v>
      </c>
      <c r="L8" s="80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79" t="n">
        <v>3296.12</v>
      </c>
      <c r="L9" s="80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79" t="n">
        <v>3242.61</v>
      </c>
      <c r="L10" s="80" t="n"/>
    </row>
    <row r="11" ht="22" customHeight="1">
      <c r="A11" s="81" t="inlineStr">
        <is>
          <t>Vale Alimentação Vinicius</t>
        </is>
      </c>
      <c r="B11" s="81" t="inlineStr">
        <is>
          <t>T.I</t>
        </is>
      </c>
      <c r="C11" s="82" t="n">
        <v>6</v>
      </c>
      <c r="D11" s="83" t="n"/>
      <c r="E11" s="83" t="n">
        <v>485</v>
      </c>
      <c r="F11" s="83" t="n">
        <v>485</v>
      </c>
      <c r="G11" s="83" t="n">
        <v>485</v>
      </c>
      <c r="H11" s="83" t="n">
        <v>485</v>
      </c>
      <c r="I11" s="83" t="n">
        <v>485</v>
      </c>
      <c r="J11" s="83" t="n">
        <v>485</v>
      </c>
      <c r="K11" s="84" t="n">
        <v>2910</v>
      </c>
      <c r="L11" s="85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79" t="n">
        <v>954.5500000000001</v>
      </c>
      <c r="L12" s="80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79" t="n">
        <v>827.49</v>
      </c>
      <c r="L13" s="80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79" t="n">
        <v>758.53</v>
      </c>
      <c r="L14" s="80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79" t="n">
        <v>690</v>
      </c>
      <c r="L15" s="80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79" t="n">
        <v>562.42</v>
      </c>
      <c r="L16" s="80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79" t="n">
        <v>183.6</v>
      </c>
      <c r="L17" s="80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86" t="inlineStr">
        <is>
          <t>Jan/26</t>
        </is>
      </c>
      <c r="B5" s="86" t="inlineStr">
        <is>
          <t>09/01/2026</t>
        </is>
      </c>
      <c r="C5" s="86" t="inlineStr">
        <is>
          <t>CLARO S.A.</t>
        </is>
      </c>
      <c r="D5" s="86" t="inlineStr">
        <is>
          <t>FAT.11.25</t>
        </is>
      </c>
      <c r="E5" s="86" t="inlineStr">
        <is>
          <t>95941/1</t>
        </is>
      </c>
      <c r="F5" s="86" t="inlineStr">
        <is>
          <t>Tetus</t>
        </is>
      </c>
      <c r="G5" s="86" t="inlineStr">
        <is>
          <t>T.I</t>
        </is>
      </c>
      <c r="H5" s="87" t="n">
        <v>407.4</v>
      </c>
    </row>
    <row r="6">
      <c r="A6" s="86" t="inlineStr">
        <is>
          <t>Jan/26</t>
        </is>
      </c>
      <c r="B6" s="86" t="inlineStr">
        <is>
          <t>28/01/2026</t>
        </is>
      </c>
      <c r="C6" s="86" t="inlineStr">
        <is>
          <t>CLARO S.A.</t>
        </is>
      </c>
      <c r="D6" s="86" t="inlineStr">
        <is>
          <t>FAT.01.26</t>
        </is>
      </c>
      <c r="E6" s="86" t="inlineStr">
        <is>
          <t>97478/1</t>
        </is>
      </c>
      <c r="F6" s="86" t="inlineStr">
        <is>
          <t>Tetus</t>
        </is>
      </c>
      <c r="G6" s="86" t="inlineStr">
        <is>
          <t>T.I</t>
        </is>
      </c>
      <c r="H6" s="87" t="n">
        <v>390.95</v>
      </c>
    </row>
    <row r="7">
      <c r="A7" s="86" t="inlineStr">
        <is>
          <t>Jan/26</t>
        </is>
      </c>
      <c r="B7" s="86" t="inlineStr">
        <is>
          <t>28/01/2026</t>
        </is>
      </c>
      <c r="C7" s="86" t="inlineStr">
        <is>
          <t>CLARO S.A.</t>
        </is>
      </c>
      <c r="D7" s="86" t="inlineStr">
        <is>
          <t>FAT.184180933</t>
        </is>
      </c>
      <c r="E7" s="86" t="inlineStr">
        <is>
          <t>97480/1</t>
        </is>
      </c>
      <c r="F7" s="86" t="inlineStr">
        <is>
          <t>Tetus</t>
        </is>
      </c>
      <c r="G7" s="86" t="inlineStr">
        <is>
          <t>T.I</t>
        </is>
      </c>
      <c r="H7" s="87" t="n">
        <v>123.76</v>
      </c>
    </row>
    <row r="8">
      <c r="A8" s="86" t="inlineStr">
        <is>
          <t>Jan/26</t>
        </is>
      </c>
      <c r="B8" s="86" t="inlineStr">
        <is>
          <t>30/01/2026</t>
        </is>
      </c>
      <c r="C8" s="86" t="inlineStr">
        <is>
          <t>INTELBRAS S.A. INDUSTRIA DE TELECOMUNICACAO ELETRONICA BRASILEIRA</t>
        </is>
      </c>
      <c r="D8" s="86" t="inlineStr">
        <is>
          <t>NFS.347106</t>
        </is>
      </c>
      <c r="E8" s="86" t="inlineStr">
        <is>
          <t>96534/1</t>
        </is>
      </c>
      <c r="F8" s="86" t="inlineStr">
        <is>
          <t>Tetus</t>
        </is>
      </c>
      <c r="G8" s="86" t="inlineStr">
        <is>
          <t>T.I</t>
        </is>
      </c>
      <c r="H8" s="87" t="n">
        <v>79.59999999999999</v>
      </c>
    </row>
    <row r="9">
      <c r="A9" s="86" t="inlineStr">
        <is>
          <t>Jan/26</t>
        </is>
      </c>
      <c r="B9" s="86" t="inlineStr">
        <is>
          <t>19/01/2026</t>
        </is>
      </c>
      <c r="C9" s="86" t="inlineStr">
        <is>
          <t>J H ALVES - MONITOR REMOTO</t>
        </is>
      </c>
      <c r="D9" s="86" t="inlineStr">
        <is>
          <t>NFS.70</t>
        </is>
      </c>
      <c r="E9" s="86" t="inlineStr">
        <is>
          <t>96602/1</t>
        </is>
      </c>
      <c r="F9" s="86" t="inlineStr">
        <is>
          <t>Tetus</t>
        </is>
      </c>
      <c r="G9" s="86" t="inlineStr">
        <is>
          <t>T.I</t>
        </is>
      </c>
      <c r="H9" s="87" t="n">
        <v>4311.56</v>
      </c>
    </row>
    <row r="10">
      <c r="A10" s="86" t="inlineStr">
        <is>
          <t>Jan/26</t>
        </is>
      </c>
      <c r="B10" s="86" t="inlineStr">
        <is>
          <t>08/01/2026</t>
        </is>
      </c>
      <c r="C10" s="86" t="inlineStr">
        <is>
          <t>LOCAWEB SERVICOS DE INTERNET S/A</t>
        </is>
      </c>
      <c r="D10" s="86" t="inlineStr">
        <is>
          <t>AV.LIC EMAILS 01.25</t>
        </is>
      </c>
      <c r="E10" s="86" t="inlineStr">
        <is>
          <t>96014/1</t>
        </is>
      </c>
      <c r="F10" s="86" t="inlineStr">
        <is>
          <t>Tetus</t>
        </is>
      </c>
      <c r="G10" s="86" t="inlineStr">
        <is>
          <t>T.I</t>
        </is>
      </c>
      <c r="H10" s="87" t="n">
        <v>6.2</v>
      </c>
    </row>
    <row r="11">
      <c r="A11" s="86" t="inlineStr">
        <is>
          <t>Jan/26</t>
        </is>
      </c>
      <c r="B11" s="86" t="inlineStr">
        <is>
          <t>25/01/2026</t>
        </is>
      </c>
      <c r="C11" s="86" t="inlineStr">
        <is>
          <t>LOCAWEB SERVICOS DE INTERNET S/A</t>
        </is>
      </c>
      <c r="D11" s="86" t="inlineStr">
        <is>
          <t>BOL.13.01</t>
        </is>
      </c>
      <c r="E11" s="86" t="inlineStr">
        <is>
          <t>96623/1</t>
        </is>
      </c>
      <c r="F11" s="86" t="inlineStr">
        <is>
          <t>Tetus</t>
        </is>
      </c>
      <c r="G11" s="86" t="inlineStr">
        <is>
          <t>T.I</t>
        </is>
      </c>
      <c r="H11" s="87" t="n">
        <v>918.08</v>
      </c>
    </row>
    <row r="12">
      <c r="A12" s="86" t="inlineStr">
        <is>
          <t>Jan/26</t>
        </is>
      </c>
      <c r="B12" s="86" t="inlineStr">
        <is>
          <t>30/01/2026</t>
        </is>
      </c>
      <c r="C12" s="86" t="inlineStr">
        <is>
          <t>SABHA INTELIGENCIA EM TECNOLOGIA LTDA</t>
        </is>
      </c>
      <c r="D12" s="86" t="inlineStr">
        <is>
          <t>FAT.2682</t>
        </is>
      </c>
      <c r="E12" s="86" t="inlineStr">
        <is>
          <t>96458/1</t>
        </is>
      </c>
      <c r="F12" s="86" t="inlineStr">
        <is>
          <t>Tetus</t>
        </is>
      </c>
      <c r="G12" s="86" t="inlineStr">
        <is>
          <t>T.I</t>
        </is>
      </c>
      <c r="H12" s="87" t="n">
        <v>723.75</v>
      </c>
    </row>
    <row r="13">
      <c r="A13" s="86" t="inlineStr">
        <is>
          <t>Jan/26</t>
        </is>
      </c>
      <c r="B13" s="86" t="inlineStr">
        <is>
          <t>12/01/2026</t>
        </is>
      </c>
      <c r="C13" s="86" t="inlineStr">
        <is>
          <t>TELEFONICA BRASIL S.A.</t>
        </is>
      </c>
      <c r="D13" s="86" t="inlineStr">
        <is>
          <t>FAT.2011241340</t>
        </is>
      </c>
      <c r="E13" s="86" t="inlineStr">
        <is>
          <t>96088/1</t>
        </is>
      </c>
      <c r="F13" s="86" t="inlineStr">
        <is>
          <t>Tetus</t>
        </is>
      </c>
      <c r="G13" s="86" t="inlineStr">
        <is>
          <t>T.I</t>
        </is>
      </c>
      <c r="H13" s="87" t="n">
        <v>51.63</v>
      </c>
    </row>
    <row r="14">
      <c r="A14" s="86" t="inlineStr">
        <is>
          <t>Jan/26</t>
        </is>
      </c>
      <c r="B14" s="86" t="inlineStr">
        <is>
          <t>22/01/2026</t>
        </is>
      </c>
      <c r="C14" s="86" t="inlineStr">
        <is>
          <t>TIM S A</t>
        </is>
      </c>
      <c r="D14" s="86" t="inlineStr">
        <is>
          <t>FAT.5664047504</t>
        </is>
      </c>
      <c r="E14" s="86" t="inlineStr">
        <is>
          <t>96789/1</t>
        </is>
      </c>
      <c r="F14" s="86" t="inlineStr">
        <is>
          <t>Tetus</t>
        </is>
      </c>
      <c r="G14" s="86" t="inlineStr">
        <is>
          <t>T.I</t>
        </is>
      </c>
      <c r="H14" s="87" t="n">
        <v>331.42</v>
      </c>
    </row>
    <row r="15">
      <c r="A15" s="86" t="inlineStr">
        <is>
          <t>Jan/26</t>
        </is>
      </c>
      <c r="B15" s="86" t="inlineStr">
        <is>
          <t>26/01/2026</t>
        </is>
      </c>
      <c r="C15" s="86" t="inlineStr">
        <is>
          <t>VINICIUS DI FRANCO HEITOR</t>
        </is>
      </c>
      <c r="D15" s="86" t="inlineStr">
        <is>
          <t>CX.16.01.26</t>
        </is>
      </c>
      <c r="E15" s="86" t="inlineStr">
        <is>
          <t>97067/1</t>
        </is>
      </c>
      <c r="F15" s="86" t="inlineStr">
        <is>
          <t>Tetus</t>
        </is>
      </c>
      <c r="G15" s="86" t="inlineStr">
        <is>
          <t>T.I</t>
        </is>
      </c>
      <c r="H15" s="87" t="n">
        <v>39.84</v>
      </c>
    </row>
    <row r="16">
      <c r="A16" s="86" t="inlineStr">
        <is>
          <t>Jan/26</t>
        </is>
      </c>
      <c r="B16" s="86" t="inlineStr">
        <is>
          <t>07/01/2026</t>
        </is>
      </c>
      <c r="C16" s="86" t="inlineStr">
        <is>
          <t>VINICIUS DI FRANCO HEITOR</t>
        </is>
      </c>
      <c r="D16" s="86" t="inlineStr">
        <is>
          <t>SAL.Sal_122025</t>
        </is>
      </c>
      <c r="E16" s="86" t="inlineStr">
        <is>
          <t>96252/1</t>
        </is>
      </c>
      <c r="F16" s="86" t="inlineStr">
        <is>
          <t>Tetus</t>
        </is>
      </c>
      <c r="G16" s="86" t="inlineStr">
        <is>
          <t>T.I</t>
        </is>
      </c>
      <c r="H16" s="87" t="n">
        <v>1602</v>
      </c>
    </row>
    <row r="17">
      <c r="A17" s="86" t="inlineStr">
        <is>
          <t>Jan/26</t>
        </is>
      </c>
      <c r="B17" s="86" t="inlineStr">
        <is>
          <t>20/01/2026</t>
        </is>
      </c>
      <c r="C17" s="86" t="inlineStr">
        <is>
          <t>VINICIUS DI FRANCO HEITOR</t>
        </is>
      </c>
      <c r="D17" s="86" t="inlineStr">
        <is>
          <t>SAL.VALE_ 012026</t>
        </is>
      </c>
      <c r="E17" s="86" t="inlineStr">
        <is>
          <t>97269/1</t>
        </is>
      </c>
      <c r="F17" s="86" t="inlineStr">
        <is>
          <t>Tetus</t>
        </is>
      </c>
      <c r="G17" s="86" t="inlineStr">
        <is>
          <t>T.I</t>
        </is>
      </c>
      <c r="H17" s="87" t="n">
        <v>1029</v>
      </c>
    </row>
    <row r="18">
      <c r="A18" s="86" t="inlineStr">
        <is>
          <t>Jan/26</t>
        </is>
      </c>
      <c r="B18" s="86" t="inlineStr">
        <is>
          <t>27/01/2026</t>
        </is>
      </c>
      <c r="C18" s="86" t="inlineStr">
        <is>
          <t>WEB MOBILE TELECOM LTDA</t>
        </is>
      </c>
      <c r="D18" s="86" t="inlineStr">
        <is>
          <t>BOL.1</t>
        </is>
      </c>
      <c r="E18" s="86" t="inlineStr">
        <is>
          <t>97204/1</t>
        </is>
      </c>
      <c r="F18" s="86" t="inlineStr">
        <is>
          <t>Tetus</t>
        </is>
      </c>
      <c r="G18" s="86" t="inlineStr">
        <is>
          <t>T.I</t>
        </is>
      </c>
      <c r="H18" s="87" t="n">
        <v>82.5</v>
      </c>
    </row>
    <row r="19">
      <c r="A19" s="86" t="inlineStr">
        <is>
          <t>Fev/26</t>
        </is>
      </c>
      <c r="B19" s="86" t="inlineStr">
        <is>
          <t>04/02/2026</t>
        </is>
      </c>
      <c r="C19" s="86" t="inlineStr">
        <is>
          <t>LOCAWEB SERVICOS DE INTERNET S/A</t>
        </is>
      </c>
      <c r="D19" s="86" t="inlineStr">
        <is>
          <t>AV.04.02.26</t>
        </is>
      </c>
      <c r="E19" s="86" t="inlineStr">
        <is>
          <t>98500/1</t>
        </is>
      </c>
      <c r="F19" s="86" t="inlineStr">
        <is>
          <t>Tetus</t>
        </is>
      </c>
      <c r="G19" s="86" t="inlineStr">
        <is>
          <t>T.I</t>
        </is>
      </c>
      <c r="H19" s="87" t="n">
        <v>26.67</v>
      </c>
    </row>
    <row r="20">
      <c r="A20" s="86" t="inlineStr">
        <is>
          <t>Fev/26</t>
        </is>
      </c>
      <c r="B20" s="86" t="inlineStr">
        <is>
          <t>15/02/2026</t>
        </is>
      </c>
      <c r="C20" s="86" t="inlineStr">
        <is>
          <t>LOCAWEB SERVICOS DE INTERNET S/A</t>
        </is>
      </c>
      <c r="D20" s="86" t="inlineStr">
        <is>
          <t>AV.12.02.26 LCW</t>
        </is>
      </c>
      <c r="E20" s="86" t="inlineStr">
        <is>
          <t>99336/1</t>
        </is>
      </c>
      <c r="F20" s="86" t="inlineStr">
        <is>
          <t>Tetus</t>
        </is>
      </c>
      <c r="G20" s="86" t="inlineStr">
        <is>
          <t>T.I</t>
        </is>
      </c>
      <c r="H20" s="87" t="n">
        <v>72.58</v>
      </c>
    </row>
    <row r="21">
      <c r="A21" s="86" t="inlineStr">
        <is>
          <t>Fev/26</t>
        </is>
      </c>
      <c r="B21" s="86" t="inlineStr">
        <is>
          <t>15/02/2026</t>
        </is>
      </c>
      <c r="C21" s="86" t="inlineStr">
        <is>
          <t>OPENAI BRAZIL LIMITADA</t>
        </is>
      </c>
      <c r="D21" s="86" t="inlineStr">
        <is>
          <t>AV.CHATGPT JUR 2026</t>
        </is>
      </c>
      <c r="E21" s="86" t="inlineStr">
        <is>
          <t>95104/2</t>
        </is>
      </c>
      <c r="F21" s="86" t="inlineStr">
        <is>
          <t>Tetus</t>
        </is>
      </c>
      <c r="G21" s="86" t="inlineStr">
        <is>
          <t>T.I</t>
        </is>
      </c>
      <c r="H21" s="87" t="n">
        <v>234.46</v>
      </c>
    </row>
    <row r="22">
      <c r="A22" s="86" t="inlineStr">
        <is>
          <t>Fev/26</t>
        </is>
      </c>
      <c r="B22" s="86" t="inlineStr">
        <is>
          <t>24/02/2026</t>
        </is>
      </c>
      <c r="C22" s="86" t="inlineStr">
        <is>
          <t>TELEFONICA BRASIL S.A.</t>
        </is>
      </c>
      <c r="D22" s="86" t="inlineStr">
        <is>
          <t>FAT.3575377</t>
        </is>
      </c>
      <c r="E22" s="86" t="inlineStr">
        <is>
          <t>100172/1</t>
        </is>
      </c>
      <c r="F22" s="86" t="inlineStr">
        <is>
          <t>Tetus</t>
        </is>
      </c>
      <c r="G22" s="86" t="inlineStr">
        <is>
          <t>T.I</t>
        </is>
      </c>
      <c r="H22" s="87" t="n">
        <v>52.32</v>
      </c>
    </row>
    <row r="23">
      <c r="A23" s="86" t="inlineStr">
        <is>
          <t>Fev/26</t>
        </is>
      </c>
      <c r="B23" s="86" t="inlineStr">
        <is>
          <t>24/02/2026</t>
        </is>
      </c>
      <c r="C23" s="86" t="inlineStr">
        <is>
          <t>TELEFONICA BRASIL S.A.</t>
        </is>
      </c>
      <c r="D23" s="86" t="inlineStr">
        <is>
          <t>FAT.5290953</t>
        </is>
      </c>
      <c r="E23" s="86" t="inlineStr">
        <is>
          <t>100173/1</t>
        </is>
      </c>
      <c r="F23" s="86" t="inlineStr">
        <is>
          <t>Tetus</t>
        </is>
      </c>
      <c r="G23" s="86" t="inlineStr">
        <is>
          <t>T.I</t>
        </is>
      </c>
      <c r="H23" s="87" t="n">
        <v>50</v>
      </c>
    </row>
    <row r="24">
      <c r="A24" s="86" t="inlineStr">
        <is>
          <t>Fev/26</t>
        </is>
      </c>
      <c r="B24" s="86" t="inlineStr">
        <is>
          <t>27/02/2026</t>
        </is>
      </c>
      <c r="C24" s="86" t="inlineStr">
        <is>
          <t>TIM S A</t>
        </is>
      </c>
      <c r="D24" s="86" t="inlineStr">
        <is>
          <t>BOL.141</t>
        </is>
      </c>
      <c r="E24" s="86" t="inlineStr">
        <is>
          <t>99947/1</t>
        </is>
      </c>
      <c r="F24" s="86" t="inlineStr">
        <is>
          <t>Tetus</t>
        </is>
      </c>
      <c r="G24" s="86" t="inlineStr">
        <is>
          <t>T.I</t>
        </is>
      </c>
      <c r="H24" s="87" t="n">
        <v>338.5</v>
      </c>
    </row>
    <row r="25">
      <c r="A25" s="86" t="inlineStr">
        <is>
          <t>Fev/26</t>
        </is>
      </c>
      <c r="B25" s="86" t="inlineStr">
        <is>
          <t>13/02/2026</t>
        </is>
      </c>
      <c r="C25" s="86" t="inlineStr">
        <is>
          <t>VC1 SOLUCOES EM TECNOLOGIA EIRELI</t>
        </is>
      </c>
      <c r="D25" s="86" t="inlineStr">
        <is>
          <t>BOL.26449</t>
        </is>
      </c>
      <c r="E25" s="86" t="inlineStr">
        <is>
          <t>99484/1</t>
        </is>
      </c>
      <c r="F25" s="86" t="inlineStr">
        <is>
          <t>Tetus</t>
        </is>
      </c>
      <c r="G25" s="86" t="inlineStr">
        <is>
          <t>T.I</t>
        </is>
      </c>
      <c r="H25" s="87" t="n">
        <v>137.94</v>
      </c>
    </row>
    <row r="26">
      <c r="A26" s="86" t="inlineStr">
        <is>
          <t>Fev/26</t>
        </is>
      </c>
      <c r="B26" s="86" t="inlineStr">
        <is>
          <t>19/02/2026</t>
        </is>
      </c>
      <c r="C26" s="86" t="inlineStr">
        <is>
          <t>VC1 SOLUCOES EM TECNOLOGIA EIRELI</t>
        </is>
      </c>
      <c r="D26" s="86" t="inlineStr">
        <is>
          <t>BOL.27256</t>
        </is>
      </c>
      <c r="E26" s="86" t="inlineStr">
        <is>
          <t>99486/1</t>
        </is>
      </c>
      <c r="F26" s="86" t="inlineStr">
        <is>
          <t>Tetus</t>
        </is>
      </c>
      <c r="G26" s="86" t="inlineStr">
        <is>
          <t>T.I</t>
        </is>
      </c>
      <c r="H26" s="87" t="n">
        <v>137.9</v>
      </c>
    </row>
    <row r="27">
      <c r="A27" s="86" t="inlineStr">
        <is>
          <t>Fev/26</t>
        </is>
      </c>
      <c r="B27" s="86" t="inlineStr">
        <is>
          <t>06/02/2026</t>
        </is>
      </c>
      <c r="C27" s="86" t="inlineStr">
        <is>
          <t>VINICIUS DI FRANCO HEITOR</t>
        </is>
      </c>
      <c r="D27" s="86" t="inlineStr">
        <is>
          <t>SAL.SAL JANEIRO 2026</t>
        </is>
      </c>
      <c r="E27" s="86" t="inlineStr">
        <is>
          <t>98811/1</t>
        </is>
      </c>
      <c r="F27" s="86" t="inlineStr">
        <is>
          <t>Tetus</t>
        </is>
      </c>
      <c r="G27" s="86" t="inlineStr">
        <is>
          <t>T.I</t>
        </is>
      </c>
      <c r="H27" s="87" t="n">
        <v>1750</v>
      </c>
    </row>
    <row r="28">
      <c r="A28" s="86" t="inlineStr">
        <is>
          <t>Fev/26</t>
        </is>
      </c>
      <c r="B28" s="86" t="inlineStr">
        <is>
          <t>20/02/2026</t>
        </is>
      </c>
      <c r="C28" s="86" t="inlineStr">
        <is>
          <t>VINICIUS DI FRANCO HEITOR</t>
        </is>
      </c>
      <c r="D28" s="86" t="inlineStr">
        <is>
          <t>SAL.VALE FEVEREIRO 26</t>
        </is>
      </c>
      <c r="E28" s="86" t="inlineStr">
        <is>
          <t>99890/1</t>
        </is>
      </c>
      <c r="F28" s="86" t="inlineStr">
        <is>
          <t>Tetus</t>
        </is>
      </c>
      <c r="G28" s="86" t="inlineStr">
        <is>
          <t>T.I</t>
        </is>
      </c>
      <c r="H28" s="87" t="n">
        <v>1029</v>
      </c>
    </row>
    <row r="29">
      <c r="A29" s="86" t="inlineStr">
        <is>
          <t>Fev/26</t>
        </is>
      </c>
      <c r="B29" s="86" t="inlineStr">
        <is>
          <t>2026-02-20 00:00:00</t>
        </is>
      </c>
      <c r="C29" s="86" t="inlineStr">
        <is>
          <t>VINICIUS DI FRANCO HEITOR</t>
        </is>
      </c>
      <c r="D29" s="86" t="inlineStr">
        <is>
          <t>FGTS/INSS</t>
        </is>
      </c>
      <c r="E29" s="86" t="inlineStr">
        <is>
          <t>113754/2</t>
        </is>
      </c>
      <c r="F29" s="86" t="inlineStr">
        <is>
          <t>Tetus</t>
        </is>
      </c>
      <c r="G29" s="86" t="inlineStr">
        <is>
          <t>T.I</t>
        </is>
      </c>
      <c r="H29" s="87" t="n">
        <v>207.04</v>
      </c>
    </row>
    <row r="30">
      <c r="A30" s="86" t="inlineStr">
        <is>
          <t>Fev/26</t>
        </is>
      </c>
      <c r="B30" s="86" t="inlineStr">
        <is>
          <t>2026-02-01 00:00:00</t>
        </is>
      </c>
      <c r="C30" s="86" t="inlineStr">
        <is>
          <t>Vale Alimentação Vinicius</t>
        </is>
      </c>
      <c r="D30" s="86" t="inlineStr"/>
      <c r="E30" s="86" t="inlineStr"/>
      <c r="F30" s="86" t="inlineStr">
        <is>
          <t>Tetus</t>
        </is>
      </c>
      <c r="G30" s="86" t="inlineStr">
        <is>
          <t>T.I</t>
        </is>
      </c>
      <c r="H30" s="87" t="n">
        <v>485</v>
      </c>
    </row>
    <row r="31">
      <c r="A31" s="86" t="inlineStr">
        <is>
          <t>Fev/26</t>
        </is>
      </c>
      <c r="B31" s="86" t="inlineStr">
        <is>
          <t>27/02/2026</t>
        </is>
      </c>
      <c r="C31" s="86" t="inlineStr">
        <is>
          <t>WEB MOBILE TELECOM LTDA</t>
        </is>
      </c>
      <c r="D31" s="86" t="inlineStr">
        <is>
          <t>NFS.1430</t>
        </is>
      </c>
      <c r="E31" s="86" t="inlineStr">
        <is>
          <t>99956/1</t>
        </is>
      </c>
      <c r="F31" s="86" t="inlineStr">
        <is>
          <t>Tetus</t>
        </is>
      </c>
      <c r="G31" s="86" t="inlineStr">
        <is>
          <t>T.I</t>
        </is>
      </c>
      <c r="H31" s="87" t="n">
        <v>75</v>
      </c>
    </row>
    <row r="32">
      <c r="A32" s="86" t="inlineStr">
        <is>
          <t>Mar/26</t>
        </is>
      </c>
      <c r="B32" s="86" t="inlineStr">
        <is>
          <t>05/03/2026</t>
        </is>
      </c>
      <c r="C32" s="86" t="inlineStr">
        <is>
          <t>CLARO S.A.</t>
        </is>
      </c>
      <c r="D32" s="86" t="inlineStr">
        <is>
          <t>FAT.5042829</t>
        </is>
      </c>
      <c r="E32" s="86" t="inlineStr">
        <is>
          <t>100503/1</t>
        </is>
      </c>
      <c r="F32" s="86" t="inlineStr">
        <is>
          <t>Tetus</t>
        </is>
      </c>
      <c r="G32" s="86" t="inlineStr">
        <is>
          <t>T.I</t>
        </is>
      </c>
      <c r="H32" s="87" t="n">
        <v>87.69</v>
      </c>
    </row>
    <row r="33">
      <c r="A33" s="86" t="inlineStr">
        <is>
          <t>Mar/26</t>
        </is>
      </c>
      <c r="B33" s="86" t="inlineStr">
        <is>
          <t>05/03/2026</t>
        </is>
      </c>
      <c r="C33" s="86" t="inlineStr">
        <is>
          <t>CLARO S.A.</t>
        </is>
      </c>
      <c r="D33" s="86" t="inlineStr">
        <is>
          <t>FAT.5042827</t>
        </is>
      </c>
      <c r="E33" s="86" t="inlineStr">
        <is>
          <t>100504/1</t>
        </is>
      </c>
      <c r="F33" s="86" t="inlineStr">
        <is>
          <t>Tetus</t>
        </is>
      </c>
      <c r="G33" s="86" t="inlineStr">
        <is>
          <t>T.I</t>
        </is>
      </c>
      <c r="H33" s="87" t="n">
        <v>382.4</v>
      </c>
    </row>
    <row r="34">
      <c r="A34" s="86" t="inlineStr">
        <is>
          <t>Mar/26</t>
        </is>
      </c>
      <c r="B34" s="86" t="inlineStr">
        <is>
          <t>28/03/2026</t>
        </is>
      </c>
      <c r="C34" s="86" t="inlineStr">
        <is>
          <t>CLARO S.A.</t>
        </is>
      </c>
      <c r="D34" s="86" t="inlineStr">
        <is>
          <t>FAT.8910508</t>
        </is>
      </c>
      <c r="E34" s="86" t="inlineStr">
        <is>
          <t>102706/1</t>
        </is>
      </c>
      <c r="F34" s="86" t="inlineStr">
        <is>
          <t>Tetus</t>
        </is>
      </c>
      <c r="G34" s="86" t="inlineStr">
        <is>
          <t>T.I</t>
        </is>
      </c>
      <c r="H34" s="87" t="n">
        <v>429.49</v>
      </c>
    </row>
    <row r="35">
      <c r="A35" s="86" t="inlineStr">
        <is>
          <t>Mar/26</t>
        </is>
      </c>
      <c r="B35" s="86" t="inlineStr">
        <is>
          <t>02/03/2026</t>
        </is>
      </c>
      <c r="C35" s="86" t="inlineStr">
        <is>
          <t>INTELBRAS S.A. INDUSTRIA DE TELECOMUNICACAO ELETRONICA BRASILEIRA</t>
        </is>
      </c>
      <c r="D35" s="86" t="inlineStr">
        <is>
          <t>NFS.351653</t>
        </is>
      </c>
      <c r="E35" s="86" t="inlineStr">
        <is>
          <t>100083/1</t>
        </is>
      </c>
      <c r="F35" s="86" t="inlineStr">
        <is>
          <t>Tetus</t>
        </is>
      </c>
      <c r="G35" s="86" t="inlineStr">
        <is>
          <t>T.I</t>
        </is>
      </c>
      <c r="H35" s="87" t="n">
        <v>79.59999999999999</v>
      </c>
    </row>
    <row r="36">
      <c r="A36" s="86" t="inlineStr">
        <is>
          <t>Mar/26</t>
        </is>
      </c>
      <c r="B36" s="86" t="inlineStr">
        <is>
          <t>30/03/2026</t>
        </is>
      </c>
      <c r="C36" s="86" t="inlineStr">
        <is>
          <t>INTELBRAS S.A. INDUSTRIA DE TELECOMUNICACAO ELETRONICA BRASILEIRA</t>
        </is>
      </c>
      <c r="D36" s="86" t="inlineStr">
        <is>
          <t>NFS.359396</t>
        </is>
      </c>
      <c r="E36" s="86" t="inlineStr">
        <is>
          <t>102608/1</t>
        </is>
      </c>
      <c r="F36" s="86" t="inlineStr">
        <is>
          <t>Tetus</t>
        </is>
      </c>
      <c r="G36" s="86" t="inlineStr">
        <is>
          <t>T.I</t>
        </is>
      </c>
      <c r="H36" s="87" t="n">
        <v>79.59999999999999</v>
      </c>
    </row>
    <row r="37">
      <c r="A37" s="86" t="inlineStr">
        <is>
          <t>Mar/26</t>
        </is>
      </c>
      <c r="B37" s="86" t="inlineStr">
        <is>
          <t>01/03/2026</t>
        </is>
      </c>
      <c r="C37" s="86" t="inlineStr">
        <is>
          <t>OPENAI BRAZIL LIMITADA</t>
        </is>
      </c>
      <c r="D37" s="86" t="inlineStr">
        <is>
          <t>AV.CHATGPT JUR 2026</t>
        </is>
      </c>
      <c r="E37" s="86" t="inlineStr">
        <is>
          <t>95104/3</t>
        </is>
      </c>
      <c r="F37" s="86" t="inlineStr">
        <is>
          <t>Tetus</t>
        </is>
      </c>
      <c r="G37" s="86" t="inlineStr">
        <is>
          <t>T.I</t>
        </is>
      </c>
      <c r="H37" s="87" t="n">
        <v>111.38</v>
      </c>
    </row>
    <row r="38">
      <c r="A38" s="86" t="inlineStr">
        <is>
          <t>Mar/26</t>
        </is>
      </c>
      <c r="B38" s="86" t="inlineStr">
        <is>
          <t>31/03/2026</t>
        </is>
      </c>
      <c r="C38" s="86" t="inlineStr">
        <is>
          <t>OPENAI BRAZIL LIMITADA</t>
        </is>
      </c>
      <c r="D38" s="86" t="inlineStr">
        <is>
          <t>AV.CHATGPT JUR 2026</t>
        </is>
      </c>
      <c r="E38" s="86" t="inlineStr">
        <is>
          <t>95104/4</t>
        </is>
      </c>
      <c r="F38" s="86" t="inlineStr">
        <is>
          <t>Tetus</t>
        </is>
      </c>
      <c r="G38" s="86" t="inlineStr">
        <is>
          <t>T.I</t>
        </is>
      </c>
      <c r="H38" s="87" t="n">
        <v>210.38</v>
      </c>
    </row>
    <row r="39">
      <c r="A39" s="86" t="inlineStr">
        <is>
          <t>Mar/26</t>
        </is>
      </c>
      <c r="B39" s="86" t="inlineStr">
        <is>
          <t>24/03/2026</t>
        </is>
      </c>
      <c r="C39" s="86" t="inlineStr">
        <is>
          <t>TELEFONICA BRASIL S.A.</t>
        </is>
      </c>
      <c r="D39" s="86" t="inlineStr">
        <is>
          <t>FAT.2024588614</t>
        </is>
      </c>
      <c r="E39" s="86" t="inlineStr">
        <is>
          <t>102316/1</t>
        </is>
      </c>
      <c r="F39" s="86" t="inlineStr">
        <is>
          <t>Tetus</t>
        </is>
      </c>
      <c r="G39" s="86" t="inlineStr">
        <is>
          <t>T.I</t>
        </is>
      </c>
      <c r="H39" s="87" t="n">
        <v>50</v>
      </c>
    </row>
    <row r="40">
      <c r="A40" s="86" t="inlineStr">
        <is>
          <t>Mar/26</t>
        </is>
      </c>
      <c r="B40" s="86" t="inlineStr">
        <is>
          <t>20/03/2026</t>
        </is>
      </c>
      <c r="C40" s="86" t="inlineStr">
        <is>
          <t>TIM S A</t>
        </is>
      </c>
      <c r="D40" s="86" t="inlineStr">
        <is>
          <t>BOL.5708173302</t>
        </is>
      </c>
      <c r="E40" s="86" t="inlineStr">
        <is>
          <t>102057/1</t>
        </is>
      </c>
      <c r="F40" s="86" t="inlineStr">
        <is>
          <t>Tetus</t>
        </is>
      </c>
      <c r="G40" s="86" t="inlineStr">
        <is>
          <t>T.I</t>
        </is>
      </c>
      <c r="H40" s="87" t="n">
        <v>284.63</v>
      </c>
    </row>
    <row r="41">
      <c r="A41" s="86" t="inlineStr">
        <is>
          <t>Mar/26</t>
        </is>
      </c>
      <c r="B41" s="86" t="inlineStr">
        <is>
          <t>15/03/2026</t>
        </is>
      </c>
      <c r="C41" s="86" t="inlineStr">
        <is>
          <t>VC1 SOLUCOES EM TECNOLOGIA EIRELI</t>
        </is>
      </c>
      <c r="D41" s="86" t="inlineStr">
        <is>
          <t>BOL.28049</t>
        </is>
      </c>
      <c r="E41" s="86" t="inlineStr">
        <is>
          <t>100887/1</t>
        </is>
      </c>
      <c r="F41" s="86" t="inlineStr">
        <is>
          <t>Tetus</t>
        </is>
      </c>
      <c r="G41" s="86" t="inlineStr">
        <is>
          <t>T.I</t>
        </is>
      </c>
      <c r="H41" s="87" t="n">
        <v>137.9</v>
      </c>
    </row>
    <row r="42">
      <c r="A42" s="86" t="inlineStr">
        <is>
          <t>Mar/26</t>
        </is>
      </c>
      <c r="B42" s="86" t="inlineStr">
        <is>
          <t>06/03/2026</t>
        </is>
      </c>
      <c r="C42" s="86" t="inlineStr">
        <is>
          <t>VINICIUS DI FRANCO HEITOR</t>
        </is>
      </c>
      <c r="D42" s="86" t="inlineStr">
        <is>
          <t>SAL.SAL FEVEREIRO 26</t>
        </is>
      </c>
      <c r="E42" s="86" t="inlineStr">
        <is>
          <t>101276/1</t>
        </is>
      </c>
      <c r="F42" s="86" t="inlineStr">
        <is>
          <t>Tetus</t>
        </is>
      </c>
      <c r="G42" s="86" t="inlineStr">
        <is>
          <t>T.I</t>
        </is>
      </c>
      <c r="H42" s="87" t="n">
        <v>1542</v>
      </c>
    </row>
    <row r="43">
      <c r="A43" s="86" t="inlineStr">
        <is>
          <t>Mar/26</t>
        </is>
      </c>
      <c r="B43" s="86" t="inlineStr">
        <is>
          <t>20/03/2026</t>
        </is>
      </c>
      <c r="C43" s="86" t="inlineStr">
        <is>
          <t>VINICIUS DI FRANCO HEITOR</t>
        </is>
      </c>
      <c r="D43" s="86" t="inlineStr">
        <is>
          <t>SAL.VALE 032026</t>
        </is>
      </c>
      <c r="E43" s="86" t="inlineStr">
        <is>
          <t>102295/1</t>
        </is>
      </c>
      <c r="F43" s="86" t="inlineStr">
        <is>
          <t>Tetus</t>
        </is>
      </c>
      <c r="G43" s="86" t="inlineStr">
        <is>
          <t>T.I</t>
        </is>
      </c>
      <c r="H43" s="87" t="n">
        <v>1029</v>
      </c>
    </row>
    <row r="44">
      <c r="A44" s="86" t="inlineStr">
        <is>
          <t>Mar/26</t>
        </is>
      </c>
      <c r="B44" s="86" t="inlineStr">
        <is>
          <t>2026-03-20 00:00:00</t>
        </is>
      </c>
      <c r="C44" s="86" t="inlineStr">
        <is>
          <t>VINICIUS DI FRANCO HEITOR</t>
        </is>
      </c>
      <c r="D44" s="86" t="inlineStr">
        <is>
          <t>FGTS/INSS</t>
        </is>
      </c>
      <c r="E44" s="86" t="inlineStr">
        <is>
          <t>113754/3</t>
        </is>
      </c>
      <c r="F44" s="86" t="inlineStr">
        <is>
          <t>Tetus</t>
        </is>
      </c>
      <c r="G44" s="86" t="inlineStr">
        <is>
          <t>T.I</t>
        </is>
      </c>
      <c r="H44" s="87" t="n">
        <v>207.04</v>
      </c>
    </row>
    <row r="45">
      <c r="A45" s="86" t="inlineStr">
        <is>
          <t>Mar/26</t>
        </is>
      </c>
      <c r="B45" s="86" t="inlineStr">
        <is>
          <t>2026-03-01 00:00:00</t>
        </is>
      </c>
      <c r="C45" s="86" t="inlineStr">
        <is>
          <t>Vale Alimentação Vinicius</t>
        </is>
      </c>
      <c r="D45" s="86" t="inlineStr"/>
      <c r="E45" s="86" t="inlineStr"/>
      <c r="F45" s="86" t="inlineStr">
        <is>
          <t>Tetus</t>
        </is>
      </c>
      <c r="G45" s="86" t="inlineStr">
        <is>
          <t>T.I</t>
        </is>
      </c>
      <c r="H45" s="87" t="n">
        <v>485</v>
      </c>
    </row>
    <row r="46">
      <c r="A46" s="86" t="inlineStr">
        <is>
          <t>Mar/26</t>
        </is>
      </c>
      <c r="B46" s="86" t="inlineStr">
        <is>
          <t>25/03/2026</t>
        </is>
      </c>
      <c r="C46" s="86" t="inlineStr">
        <is>
          <t>WEB MOBILE TELECOM LTDA</t>
        </is>
      </c>
      <c r="D46" s="86" t="inlineStr">
        <is>
          <t>NFS.1500</t>
        </is>
      </c>
      <c r="E46" s="86" t="inlineStr">
        <is>
          <t>102432/1</t>
        </is>
      </c>
      <c r="F46" s="86" t="inlineStr">
        <is>
          <t>Tetus</t>
        </is>
      </c>
      <c r="G46" s="86" t="inlineStr">
        <is>
          <t>T.I</t>
        </is>
      </c>
      <c r="H46" s="87" t="n">
        <v>75</v>
      </c>
    </row>
    <row r="47">
      <c r="A47" s="86" t="inlineStr">
        <is>
          <t>Mar/26</t>
        </is>
      </c>
      <c r="B47" s="86" t="inlineStr">
        <is>
          <t>25/03/2026</t>
        </is>
      </c>
      <c r="C47" s="86" t="inlineStr">
        <is>
          <t>WEB MOBILE TELECOM LTDA</t>
        </is>
      </c>
      <c r="D47" s="86" t="inlineStr">
        <is>
          <t>NFS.1534</t>
        </is>
      </c>
      <c r="E47" s="86" t="inlineStr">
        <is>
          <t>102434/1</t>
        </is>
      </c>
      <c r="F47" s="86" t="inlineStr">
        <is>
          <t>Tetus</t>
        </is>
      </c>
      <c r="G47" s="86" t="inlineStr">
        <is>
          <t>T.I</t>
        </is>
      </c>
      <c r="H47" s="87" t="n">
        <v>150</v>
      </c>
    </row>
    <row r="48">
      <c r="A48" s="86" t="inlineStr">
        <is>
          <t>Abr/26</t>
        </is>
      </c>
      <c r="B48" s="86" t="inlineStr">
        <is>
          <t>29/04/2026</t>
        </is>
      </c>
      <c r="C48" s="86" t="inlineStr">
        <is>
          <t>CLARO S.A.</t>
        </is>
      </c>
      <c r="D48" s="86" t="inlineStr">
        <is>
          <t>FAT.8910315</t>
        </is>
      </c>
      <c r="E48" s="86" t="inlineStr">
        <is>
          <t>105607/1</t>
        </is>
      </c>
      <c r="F48" s="86" t="inlineStr">
        <is>
          <t>Tetus</t>
        </is>
      </c>
      <c r="G48" s="86" t="inlineStr">
        <is>
          <t>T.I</t>
        </is>
      </c>
      <c r="H48" s="87" t="n">
        <v>11.99</v>
      </c>
    </row>
    <row r="49">
      <c r="A49" s="86" t="inlineStr">
        <is>
          <t>Abr/26</t>
        </is>
      </c>
      <c r="B49" s="86" t="inlineStr">
        <is>
          <t>29/04/2026</t>
        </is>
      </c>
      <c r="C49" s="86" t="inlineStr">
        <is>
          <t>CLARO S.A.</t>
        </is>
      </c>
      <c r="D49" s="86" t="inlineStr">
        <is>
          <t>FAT.13443658</t>
        </is>
      </c>
      <c r="E49" s="86" t="inlineStr">
        <is>
          <t>105676/1</t>
        </is>
      </c>
      <c r="F49" s="86" t="inlineStr">
        <is>
          <t>Tetus</t>
        </is>
      </c>
      <c r="G49" s="86" t="inlineStr">
        <is>
          <t>T.I</t>
        </is>
      </c>
      <c r="H49" s="87" t="n">
        <v>557.63</v>
      </c>
    </row>
    <row r="50">
      <c r="A50" s="86" t="inlineStr">
        <is>
          <t>Abr/26</t>
        </is>
      </c>
      <c r="B50" s="86" t="inlineStr">
        <is>
          <t>29/04/2026</t>
        </is>
      </c>
      <c r="C50" s="86" t="inlineStr">
        <is>
          <t>CLARO S.A.</t>
        </is>
      </c>
      <c r="D50" s="86" t="inlineStr">
        <is>
          <t>FAT.13443664</t>
        </is>
      </c>
      <c r="E50" s="86" t="inlineStr">
        <is>
          <t>105677/1</t>
        </is>
      </c>
      <c r="F50" s="86" t="inlineStr">
        <is>
          <t>Tetus</t>
        </is>
      </c>
      <c r="G50" s="86" t="inlineStr">
        <is>
          <t>T.I</t>
        </is>
      </c>
      <c r="H50" s="87" t="n">
        <v>132.09</v>
      </c>
    </row>
    <row r="51">
      <c r="A51" s="86" t="inlineStr">
        <is>
          <t>Abr/26</t>
        </is>
      </c>
      <c r="B51" s="86" t="inlineStr">
        <is>
          <t>30/04/2026</t>
        </is>
      </c>
      <c r="C51" s="86" t="inlineStr">
        <is>
          <t>CLARO S.A.</t>
        </is>
      </c>
      <c r="D51" s="86" t="inlineStr">
        <is>
          <t>FAT.13443112</t>
        </is>
      </c>
      <c r="E51" s="86" t="inlineStr">
        <is>
          <t>105792/1</t>
        </is>
      </c>
      <c r="F51" s="86" t="inlineStr">
        <is>
          <t>Tetus</t>
        </is>
      </c>
      <c r="G51" s="86" t="inlineStr">
        <is>
          <t>T.I</t>
        </is>
      </c>
      <c r="H51" s="87" t="n">
        <v>20.23</v>
      </c>
    </row>
    <row r="52">
      <c r="A52" s="86" t="inlineStr">
        <is>
          <t>Abr/26</t>
        </is>
      </c>
      <c r="B52" s="86" t="inlineStr">
        <is>
          <t>30/04/2026</t>
        </is>
      </c>
      <c r="C52" s="86" t="inlineStr">
        <is>
          <t>INTELBRAS S.A. INDUSTRIA DE TELECOMUNICACAO ELETRONICA BRASILEIRA</t>
        </is>
      </c>
      <c r="D52" s="86" t="inlineStr">
        <is>
          <t>NFS.363799</t>
        </is>
      </c>
      <c r="E52" s="86" t="inlineStr">
        <is>
          <t>104634/1</t>
        </is>
      </c>
      <c r="F52" s="86" t="inlineStr">
        <is>
          <t>Tetus</t>
        </is>
      </c>
      <c r="G52" s="86" t="inlineStr">
        <is>
          <t>T.I</t>
        </is>
      </c>
      <c r="H52" s="87" t="n">
        <v>79.59999999999999</v>
      </c>
    </row>
    <row r="53">
      <c r="A53" s="86" t="inlineStr">
        <is>
          <t>Abr/26</t>
        </is>
      </c>
      <c r="B53" s="86" t="inlineStr">
        <is>
          <t>25/04/2026</t>
        </is>
      </c>
      <c r="C53" s="86" t="inlineStr">
        <is>
          <t>LOCAWEB SERVICOS DE INTERNET S/A</t>
        </is>
      </c>
      <c r="D53" s="86" t="inlineStr">
        <is>
          <t>BOL.04.26</t>
        </is>
      </c>
      <c r="E53" s="86" t="inlineStr">
        <is>
          <t>104820/1</t>
        </is>
      </c>
      <c r="F53" s="86" t="inlineStr">
        <is>
          <t>Tetus</t>
        </is>
      </c>
      <c r="G53" s="86" t="inlineStr">
        <is>
          <t>T.I</t>
        </is>
      </c>
      <c r="H53" s="87" t="n">
        <v>1024.76</v>
      </c>
    </row>
    <row r="54">
      <c r="A54" s="86" t="inlineStr">
        <is>
          <t>Abr/26</t>
        </is>
      </c>
      <c r="B54" s="86" t="inlineStr">
        <is>
          <t>30/04/2026</t>
        </is>
      </c>
      <c r="C54" s="86" t="inlineStr">
        <is>
          <t>LOCAWEB SERVICOS DE INTERNET S/A</t>
        </is>
      </c>
      <c r="D54" s="86" t="inlineStr">
        <is>
          <t>BOL.LOCAWEB 29.04.26</t>
        </is>
      </c>
      <c r="E54" s="86" t="inlineStr">
        <is>
          <t>106325/1</t>
        </is>
      </c>
      <c r="F54" s="86" t="inlineStr">
        <is>
          <t>Tetus</t>
        </is>
      </c>
      <c r="G54" s="86" t="inlineStr">
        <is>
          <t>T.I</t>
        </is>
      </c>
      <c r="H54" s="87" t="n">
        <v>21.76</v>
      </c>
    </row>
    <row r="55">
      <c r="A55" s="86" t="inlineStr">
        <is>
          <t>Abr/26</t>
        </is>
      </c>
      <c r="B55" s="86" t="inlineStr">
        <is>
          <t>15/04/2026</t>
        </is>
      </c>
      <c r="C55" s="86" t="inlineStr">
        <is>
          <t>OPENAI BRAZIL LIMITADA</t>
        </is>
      </c>
      <c r="D55" s="86" t="inlineStr">
        <is>
          <t>FAT.CHATGPT 3 LIC</t>
        </is>
      </c>
      <c r="E55" s="86" t="inlineStr">
        <is>
          <t>102137/1</t>
        </is>
      </c>
      <c r="F55" s="86" t="inlineStr">
        <is>
          <t>Tetus</t>
        </is>
      </c>
      <c r="G55" s="86" t="inlineStr">
        <is>
          <t>T.I</t>
        </is>
      </c>
      <c r="H55" s="87" t="n">
        <v>5393.88</v>
      </c>
    </row>
    <row r="56">
      <c r="A56" s="86" t="inlineStr">
        <is>
          <t>Abr/26</t>
        </is>
      </c>
      <c r="B56" s="86" t="inlineStr">
        <is>
          <t>15/04/2026</t>
        </is>
      </c>
      <c r="C56" s="86" t="inlineStr">
        <is>
          <t>VC1 SOLUCOES EM TECNOLOGIA EIRELI</t>
        </is>
      </c>
      <c r="D56" s="86" t="inlineStr">
        <is>
          <t>BOL.28855</t>
        </is>
      </c>
      <c r="E56" s="86" t="inlineStr">
        <is>
          <t>103694/1</t>
        </is>
      </c>
      <c r="F56" s="86" t="inlineStr">
        <is>
          <t>Tetus</t>
        </is>
      </c>
      <c r="G56" s="86" t="inlineStr">
        <is>
          <t>T.I</t>
        </is>
      </c>
      <c r="H56" s="87" t="n">
        <v>137.9</v>
      </c>
    </row>
    <row r="57">
      <c r="A57" s="86" t="inlineStr">
        <is>
          <t>Abr/26</t>
        </is>
      </c>
      <c r="B57" s="86" t="inlineStr">
        <is>
          <t>07/04/2026</t>
        </is>
      </c>
      <c r="C57" s="86" t="inlineStr">
        <is>
          <t>VINICIUS DI FRANCO HEITOR</t>
        </is>
      </c>
      <c r="D57" s="86" t="inlineStr">
        <is>
          <t>SAL.SAL 032026</t>
        </is>
      </c>
      <c r="E57" s="86" t="inlineStr">
        <is>
          <t>103924/1</t>
        </is>
      </c>
      <c r="F57" s="86" t="inlineStr">
        <is>
          <t>Tetus</t>
        </is>
      </c>
      <c r="G57" s="86" t="inlineStr">
        <is>
          <t>T.I</t>
        </is>
      </c>
      <c r="H57" s="87" t="n">
        <v>1515</v>
      </c>
    </row>
    <row r="58">
      <c r="A58" s="86" t="inlineStr">
        <is>
          <t>Abr/26</t>
        </is>
      </c>
      <c r="B58" s="86" t="inlineStr">
        <is>
          <t>20/04/2026</t>
        </is>
      </c>
      <c r="C58" s="86" t="inlineStr">
        <is>
          <t>VINICIUS DI FRANCO HEITOR</t>
        </is>
      </c>
      <c r="D58" s="86" t="inlineStr">
        <is>
          <t>SAL.vale 042026</t>
        </is>
      </c>
      <c r="E58" s="86" t="inlineStr">
        <is>
          <t>105055/1</t>
        </is>
      </c>
      <c r="F58" s="86" t="inlineStr">
        <is>
          <t>Tetus</t>
        </is>
      </c>
      <c r="G58" s="86" t="inlineStr">
        <is>
          <t>T.I</t>
        </is>
      </c>
      <c r="H58" s="87" t="n">
        <v>1029</v>
      </c>
    </row>
    <row r="59">
      <c r="A59" s="86" t="inlineStr">
        <is>
          <t>Abr/26</t>
        </is>
      </c>
      <c r="B59" s="86" t="inlineStr">
        <is>
          <t>2026-04-20 00:00:00</t>
        </is>
      </c>
      <c r="C59" s="86" t="inlineStr">
        <is>
          <t>VINICIUS DI FRANCO HEITOR</t>
        </is>
      </c>
      <c r="D59" s="86" t="inlineStr">
        <is>
          <t>FGTS/INSS</t>
        </is>
      </c>
      <c r="E59" s="86" t="inlineStr">
        <is>
          <t>113754/4</t>
        </is>
      </c>
      <c r="F59" s="86" t="inlineStr">
        <is>
          <t>Tetus</t>
        </is>
      </c>
      <c r="G59" s="86" t="inlineStr">
        <is>
          <t>T.I</t>
        </is>
      </c>
      <c r="H59" s="87" t="n">
        <v>207.04</v>
      </c>
    </row>
    <row r="60">
      <c r="A60" s="86" t="inlineStr">
        <is>
          <t>Abr/26</t>
        </is>
      </c>
      <c r="B60" s="86" t="inlineStr">
        <is>
          <t>2026-04-01 00:00:00</t>
        </is>
      </c>
      <c r="C60" s="86" t="inlineStr">
        <is>
          <t>Vale Alimentação Vinicius</t>
        </is>
      </c>
      <c r="D60" s="86" t="inlineStr"/>
      <c r="E60" s="86" t="inlineStr"/>
      <c r="F60" s="86" t="inlineStr">
        <is>
          <t>Tetus</t>
        </is>
      </c>
      <c r="G60" s="86" t="inlineStr">
        <is>
          <t>T.I</t>
        </is>
      </c>
      <c r="H60" s="87" t="n">
        <v>485</v>
      </c>
    </row>
    <row r="61">
      <c r="A61" s="86" t="inlineStr">
        <is>
          <t>Abr/26</t>
        </is>
      </c>
      <c r="B61" s="86" t="inlineStr">
        <is>
          <t>27/04/2026</t>
        </is>
      </c>
      <c r="C61" s="86" t="inlineStr">
        <is>
          <t>WEB MOBILE TELECOM LTDA</t>
        </is>
      </c>
      <c r="D61" s="86" t="inlineStr">
        <is>
          <t>NFS.1573</t>
        </is>
      </c>
      <c r="E61" s="86" t="inlineStr">
        <is>
          <t>105411/1</t>
        </is>
      </c>
      <c r="F61" s="86" t="inlineStr">
        <is>
          <t>Tetus</t>
        </is>
      </c>
      <c r="G61" s="86" t="inlineStr">
        <is>
          <t>T.I</t>
        </is>
      </c>
      <c r="H61" s="87" t="n">
        <v>75</v>
      </c>
    </row>
    <row r="62">
      <c r="A62" s="86" t="inlineStr">
        <is>
          <t>Mai/26</t>
        </is>
      </c>
      <c r="B62" s="86" t="inlineStr">
        <is>
          <t>18/05/2026</t>
        </is>
      </c>
      <c r="C62" s="86" t="inlineStr">
        <is>
          <t>CLARO S.A.</t>
        </is>
      </c>
      <c r="D62" s="86" t="inlineStr">
        <is>
          <t>FAT.2ªvia Claro Abril</t>
        </is>
      </c>
      <c r="E62" s="86" t="inlineStr">
        <is>
          <t>107340/1</t>
        </is>
      </c>
      <c r="F62" s="86" t="inlineStr">
        <is>
          <t>Tetus</t>
        </is>
      </c>
      <c r="G62" s="86" t="inlineStr">
        <is>
          <t>T.I</t>
        </is>
      </c>
      <c r="H62" s="87" t="n">
        <v>182.32</v>
      </c>
    </row>
    <row r="63">
      <c r="A63" s="86" t="inlineStr">
        <is>
          <t>Mai/26</t>
        </is>
      </c>
      <c r="B63" s="86" t="inlineStr">
        <is>
          <t>28/05/2026</t>
        </is>
      </c>
      <c r="C63" s="86" t="inlineStr">
        <is>
          <t>CLARO S.A.</t>
        </is>
      </c>
      <c r="D63" s="86" t="inlineStr">
        <is>
          <t>FAT.17483469</t>
        </is>
      </c>
      <c r="E63" s="86" t="inlineStr">
        <is>
          <t>108218/1</t>
        </is>
      </c>
      <c r="F63" s="86" t="inlineStr">
        <is>
          <t>Tetus</t>
        </is>
      </c>
      <c r="G63" s="86" t="inlineStr">
        <is>
          <t>T.I</t>
        </is>
      </c>
      <c r="H63" s="87" t="n">
        <v>629.98</v>
      </c>
    </row>
    <row r="64">
      <c r="A64" s="86" t="inlineStr">
        <is>
          <t>Mai/26</t>
        </is>
      </c>
      <c r="B64" s="86" t="inlineStr">
        <is>
          <t>28/05/2026</t>
        </is>
      </c>
      <c r="C64" s="86" t="inlineStr">
        <is>
          <t>CLARO S.A.</t>
        </is>
      </c>
      <c r="D64" s="86" t="inlineStr">
        <is>
          <t>FAT.17483469</t>
        </is>
      </c>
      <c r="E64" s="86" t="inlineStr">
        <is>
          <t>108218/2</t>
        </is>
      </c>
      <c r="F64" s="86" t="inlineStr">
        <is>
          <t>Tetus</t>
        </is>
      </c>
      <c r="G64" s="86" t="inlineStr">
        <is>
          <t>T.I</t>
        </is>
      </c>
      <c r="H64" s="87" t="n">
        <v>18.86</v>
      </c>
    </row>
    <row r="65">
      <c r="A65" s="86" t="inlineStr">
        <is>
          <t>Mai/26</t>
        </is>
      </c>
      <c r="B65" s="86" t="inlineStr">
        <is>
          <t>28/05/2026</t>
        </is>
      </c>
      <c r="C65" s="86" t="inlineStr">
        <is>
          <t>CLARO S.A.</t>
        </is>
      </c>
      <c r="D65" s="86" t="inlineStr">
        <is>
          <t>FAT.17483469</t>
        </is>
      </c>
      <c r="E65" s="86" t="inlineStr">
        <is>
          <t>108218/3</t>
        </is>
      </c>
      <c r="F65" s="86" t="inlineStr">
        <is>
          <t>Tetus</t>
        </is>
      </c>
      <c r="G65" s="86" t="inlineStr">
        <is>
          <t>T.I</t>
        </is>
      </c>
      <c r="H65" s="87" t="n">
        <v>133.95</v>
      </c>
    </row>
    <row r="66">
      <c r="A66" s="86" t="inlineStr">
        <is>
          <t>Mai/26</t>
        </is>
      </c>
      <c r="B66" s="86" t="inlineStr">
        <is>
          <t>01/05/2026</t>
        </is>
      </c>
      <c r="C66" s="86" t="inlineStr">
        <is>
          <t>J H ALVES - MONITOR REMOTO</t>
        </is>
      </c>
      <c r="D66" s="86" t="inlineStr">
        <is>
          <t>NFS.76</t>
        </is>
      </c>
      <c r="E66" s="86" t="inlineStr">
        <is>
          <t>105987/1</t>
        </is>
      </c>
      <c r="F66" s="86" t="inlineStr">
        <is>
          <t>Tetus</t>
        </is>
      </c>
      <c r="G66" s="86" t="inlineStr">
        <is>
          <t>T.I</t>
        </is>
      </c>
      <c r="H66" s="87" t="n">
        <v>3723.62</v>
      </c>
    </row>
    <row r="67">
      <c r="A67" s="86" t="inlineStr">
        <is>
          <t>Mai/26</t>
        </is>
      </c>
      <c r="B67" s="86" t="inlineStr">
        <is>
          <t>11/05/2026</t>
        </is>
      </c>
      <c r="C67" s="86" t="inlineStr">
        <is>
          <t>LOCAWEB SERVICOS DE INTERNET S/A</t>
        </is>
      </c>
      <c r="D67" s="86" t="inlineStr">
        <is>
          <t>BOL.LOCAWEB 11.05.26</t>
        </is>
      </c>
      <c r="E67" s="86" t="inlineStr">
        <is>
          <t>107254/1</t>
        </is>
      </c>
      <c r="F67" s="86" t="inlineStr">
        <is>
          <t>Tetus</t>
        </is>
      </c>
      <c r="G67" s="86" t="inlineStr">
        <is>
          <t>T.I</t>
        </is>
      </c>
      <c r="H67" s="87" t="n">
        <v>74.81</v>
      </c>
    </row>
    <row r="68">
      <c r="A68" s="86" t="inlineStr">
        <is>
          <t>Mai/26</t>
        </is>
      </c>
      <c r="B68" s="86" t="inlineStr">
        <is>
          <t>12/05/2026</t>
        </is>
      </c>
      <c r="C68" s="86" t="inlineStr">
        <is>
          <t>SABHA INTELIGENCIA EM TECNOLOGIA LTDA</t>
        </is>
      </c>
      <c r="D68" s="86" t="inlineStr">
        <is>
          <t>NFS.5744</t>
        </is>
      </c>
      <c r="E68" s="86" t="inlineStr">
        <is>
          <t>106664/1</t>
        </is>
      </c>
      <c r="F68" s="86" t="inlineStr">
        <is>
          <t>Tetus</t>
        </is>
      </c>
      <c r="G68" s="86" t="inlineStr">
        <is>
          <t>T.I</t>
        </is>
      </c>
      <c r="H68" s="87" t="n">
        <v>741.1</v>
      </c>
    </row>
    <row r="69">
      <c r="A69" s="86" t="inlineStr">
        <is>
          <t>Mai/26</t>
        </is>
      </c>
      <c r="B69" s="86" t="inlineStr">
        <is>
          <t>25/05/2026</t>
        </is>
      </c>
      <c r="C69" s="86" t="inlineStr">
        <is>
          <t>VC1 SOLUCOES EM TECNOLOGIA EIRELI</t>
        </is>
      </c>
      <c r="D69" s="86" t="inlineStr">
        <is>
          <t>BOL.29637</t>
        </is>
      </c>
      <c r="E69" s="86" t="inlineStr">
        <is>
          <t>108040/1</t>
        </is>
      </c>
      <c r="F69" s="86" t="inlineStr">
        <is>
          <t>Tetus</t>
        </is>
      </c>
      <c r="G69" s="86" t="inlineStr">
        <is>
          <t>T.I</t>
        </is>
      </c>
      <c r="H69" s="87" t="n">
        <v>137.92</v>
      </c>
    </row>
    <row r="70">
      <c r="A70" s="86" t="inlineStr">
        <is>
          <t>Mai/26</t>
        </is>
      </c>
      <c r="B70" s="86" t="inlineStr">
        <is>
          <t>07/05/2026</t>
        </is>
      </c>
      <c r="C70" s="86" t="inlineStr">
        <is>
          <t>VINICIUS DI FRANCO HEITOR</t>
        </is>
      </c>
      <c r="D70" s="86" t="inlineStr">
        <is>
          <t>SAL.sal 042026</t>
        </is>
      </c>
      <c r="E70" s="86" t="inlineStr">
        <is>
          <t>106947/1</t>
        </is>
      </c>
      <c r="F70" s="86" t="inlineStr">
        <is>
          <t>Tetus</t>
        </is>
      </c>
      <c r="G70" s="86" t="inlineStr">
        <is>
          <t>T.I</t>
        </is>
      </c>
      <c r="H70" s="87" t="n">
        <v>1483</v>
      </c>
    </row>
    <row r="71">
      <c r="A71" s="86" t="inlineStr">
        <is>
          <t>Mai/26</t>
        </is>
      </c>
      <c r="B71" s="86" t="inlineStr">
        <is>
          <t>20/05/2026</t>
        </is>
      </c>
      <c r="C71" s="86" t="inlineStr">
        <is>
          <t>VINICIUS DI FRANCO HEITOR</t>
        </is>
      </c>
      <c r="D71" s="86" t="inlineStr">
        <is>
          <t>SAL.vale 052026</t>
        </is>
      </c>
      <c r="E71" s="86" t="inlineStr">
        <is>
          <t>108156/1</t>
        </is>
      </c>
      <c r="F71" s="86" t="inlineStr">
        <is>
          <t>Tetus</t>
        </is>
      </c>
      <c r="G71" s="86" t="inlineStr">
        <is>
          <t>T.I</t>
        </is>
      </c>
      <c r="H71" s="87" t="n">
        <v>1029</v>
      </c>
    </row>
    <row r="72">
      <c r="A72" s="86" t="inlineStr">
        <is>
          <t>Mai/26</t>
        </is>
      </c>
      <c r="B72" s="86" t="inlineStr">
        <is>
          <t>2026-05-20 00:00:00</t>
        </is>
      </c>
      <c r="C72" s="86" t="inlineStr">
        <is>
          <t>VINICIUS DI FRANCO HEITOR</t>
        </is>
      </c>
      <c r="D72" s="86" t="inlineStr">
        <is>
          <t>FGTS/INSS</t>
        </is>
      </c>
      <c r="E72" s="86" t="inlineStr">
        <is>
          <t>113754/5</t>
        </is>
      </c>
      <c r="F72" s="86" t="inlineStr">
        <is>
          <t>Tetus</t>
        </is>
      </c>
      <c r="G72" s="86" t="inlineStr">
        <is>
          <t>T.I</t>
        </is>
      </c>
      <c r="H72" s="87" t="n">
        <v>207.04</v>
      </c>
    </row>
    <row r="73">
      <c r="A73" s="86" t="inlineStr">
        <is>
          <t>Mai/26</t>
        </is>
      </c>
      <c r="B73" s="86" t="inlineStr">
        <is>
          <t>2026-05-01 00:00:00</t>
        </is>
      </c>
      <c r="C73" s="86" t="inlineStr">
        <is>
          <t>Vale Alimentação Vinicius</t>
        </is>
      </c>
      <c r="D73" s="86" t="inlineStr"/>
      <c r="E73" s="86" t="inlineStr"/>
      <c r="F73" s="86" t="inlineStr">
        <is>
          <t>Tetus</t>
        </is>
      </c>
      <c r="G73" s="86" t="inlineStr">
        <is>
          <t>T.I</t>
        </is>
      </c>
      <c r="H73" s="87" t="n">
        <v>485</v>
      </c>
    </row>
    <row r="74">
      <c r="A74" s="86" t="inlineStr">
        <is>
          <t>Mai/26</t>
        </is>
      </c>
      <c r="B74" s="86" t="inlineStr">
        <is>
          <t>25/05/2026</t>
        </is>
      </c>
      <c r="C74" s="86" t="inlineStr">
        <is>
          <t>WEB MOBILE TELECOM LTDA</t>
        </is>
      </c>
      <c r="D74" s="86" t="inlineStr">
        <is>
          <t>NFS.1631</t>
        </is>
      </c>
      <c r="E74" s="86" t="inlineStr">
        <is>
          <t>107973/1</t>
        </is>
      </c>
      <c r="F74" s="86" t="inlineStr">
        <is>
          <t>Tetus</t>
        </is>
      </c>
      <c r="G74" s="86" t="inlineStr">
        <is>
          <t>T.I</t>
        </is>
      </c>
      <c r="H74" s="87" t="n">
        <v>75</v>
      </c>
    </row>
    <row r="75">
      <c r="A75" s="86" t="inlineStr">
        <is>
          <t>Jun/26</t>
        </is>
      </c>
      <c r="B75" s="86" t="inlineStr">
        <is>
          <t>05/06/2026</t>
        </is>
      </c>
      <c r="C75" s="86" t="inlineStr">
        <is>
          <t>ALFAMA PROCESSAMENTO DE DADOS LTDA</t>
        </is>
      </c>
      <c r="D75" s="86" t="inlineStr">
        <is>
          <t>AV.1015392</t>
        </is>
      </c>
      <c r="E75" s="86" t="inlineStr">
        <is>
          <t>108925/1</t>
        </is>
      </c>
      <c r="F75" s="86" t="inlineStr">
        <is>
          <t>Tetus</t>
        </is>
      </c>
      <c r="G75" s="86" t="inlineStr">
        <is>
          <t>T.I</t>
        </is>
      </c>
      <c r="H75" s="87" t="n">
        <v>183.6</v>
      </c>
    </row>
    <row r="76">
      <c r="A76" s="86" t="inlineStr">
        <is>
          <t>Jun/26</t>
        </is>
      </c>
      <c r="B76" s="86" t="inlineStr">
        <is>
          <t>30/06/2026</t>
        </is>
      </c>
      <c r="C76" s="86" t="inlineStr">
        <is>
          <t>CLARO S.A.</t>
        </is>
      </c>
      <c r="D76" s="86" t="inlineStr">
        <is>
          <t>FAT.21882309</t>
        </is>
      </c>
      <c r="E76" s="86" t="inlineStr">
        <is>
          <t>111124/1</t>
        </is>
      </c>
      <c r="F76" s="86" t="inlineStr">
        <is>
          <t>Tetus</t>
        </is>
      </c>
      <c r="G76" s="86" t="inlineStr">
        <is>
          <t>T.I</t>
        </is>
      </c>
      <c r="H76" s="87" t="n">
        <v>720</v>
      </c>
    </row>
    <row r="77">
      <c r="A77" s="86" t="inlineStr">
        <is>
          <t>Jun/26</t>
        </is>
      </c>
      <c r="B77" s="86" t="inlineStr">
        <is>
          <t>30/06/2026</t>
        </is>
      </c>
      <c r="C77" s="86" t="inlineStr">
        <is>
          <t>CLARO S.A.</t>
        </is>
      </c>
      <c r="D77" s="86" t="inlineStr">
        <is>
          <t>FAT.21882309</t>
        </is>
      </c>
      <c r="E77" s="86" t="inlineStr">
        <is>
          <t>111124/3</t>
        </is>
      </c>
      <c r="F77" s="86" t="inlineStr">
        <is>
          <t>Tetus</t>
        </is>
      </c>
      <c r="G77" s="86" t="inlineStr">
        <is>
          <t>T.I</t>
        </is>
      </c>
      <c r="H77" s="87" t="n">
        <v>20</v>
      </c>
    </row>
    <row r="78">
      <c r="A78" s="86" t="inlineStr">
        <is>
          <t>Jun/26</t>
        </is>
      </c>
      <c r="B78" s="86" t="inlineStr">
        <is>
          <t>30/06/2026</t>
        </is>
      </c>
      <c r="C78" s="86" t="inlineStr">
        <is>
          <t>INTELBRAS S.A. INDUSTRIA DE TELECOMUNICACAO ELETRONICA BRASILEIRA</t>
        </is>
      </c>
      <c r="D78" s="86" t="inlineStr">
        <is>
          <t>NFS.373725</t>
        </is>
      </c>
      <c r="E78" s="86" t="inlineStr">
        <is>
          <t>110785/1</t>
        </is>
      </c>
      <c r="F78" s="86" t="inlineStr">
        <is>
          <t>Tetus</t>
        </is>
      </c>
      <c r="G78" s="86" t="inlineStr">
        <is>
          <t>T.I</t>
        </is>
      </c>
      <c r="H78" s="87" t="n">
        <v>79.59999999999999</v>
      </c>
    </row>
    <row r="79">
      <c r="A79" s="86" t="inlineStr">
        <is>
          <t>Jun/26</t>
        </is>
      </c>
      <c r="B79" s="86" t="inlineStr">
        <is>
          <t>01/06/2026</t>
        </is>
      </c>
      <c r="C79" s="86" t="inlineStr">
        <is>
          <t>INTELBRAS S.A. INDUSTRIA DE TELECOMUNICACAO ELETRONICA BRASILEIRA</t>
        </is>
      </c>
      <c r="D79" s="86" t="inlineStr">
        <is>
          <t>NFS.0036884701</t>
        </is>
      </c>
      <c r="E79" s="86" t="inlineStr">
        <is>
          <t>109295/1</t>
        </is>
      </c>
      <c r="F79" s="86" t="inlineStr">
        <is>
          <t>Tetus</t>
        </is>
      </c>
      <c r="G79" s="86" t="inlineStr">
        <is>
          <t>T.I</t>
        </is>
      </c>
      <c r="H79" s="87" t="n">
        <v>84.81999999999999</v>
      </c>
    </row>
    <row r="80">
      <c r="A80" s="86" t="inlineStr">
        <is>
          <t>Jun/26</t>
        </is>
      </c>
      <c r="B80" s="86" t="inlineStr">
        <is>
          <t>01/06/2026</t>
        </is>
      </c>
      <c r="C80" s="86" t="inlineStr">
        <is>
          <t>J H ALVES - MONITOR REMOTO</t>
        </is>
      </c>
      <c r="D80" s="86" t="inlineStr">
        <is>
          <t>NFS.78</t>
        </is>
      </c>
      <c r="E80" s="86" t="inlineStr">
        <is>
          <t>108317/1</t>
        </is>
      </c>
      <c r="F80" s="86" t="inlineStr">
        <is>
          <t>Tetus</t>
        </is>
      </c>
      <c r="G80" s="86" t="inlineStr">
        <is>
          <t>T.I</t>
        </is>
      </c>
      <c r="H80" s="87" t="n">
        <v>6173.37</v>
      </c>
    </row>
    <row r="81">
      <c r="A81" s="86" t="inlineStr">
        <is>
          <t>Jun/26</t>
        </is>
      </c>
      <c r="B81" s="86" t="inlineStr">
        <is>
          <t>08/06/2026</t>
        </is>
      </c>
      <c r="C81" s="86" t="inlineStr">
        <is>
          <t>SABHA INTELIGENCIA EM TECNOLOGIA LTDA</t>
        </is>
      </c>
      <c r="D81" s="86" t="inlineStr">
        <is>
          <t>NFS.5832</t>
        </is>
      </c>
      <c r="E81" s="86" t="inlineStr">
        <is>
          <t>109227/1</t>
        </is>
      </c>
      <c r="F81" s="86" t="inlineStr">
        <is>
          <t>Tetus</t>
        </is>
      </c>
      <c r="G81" s="86" t="inlineStr">
        <is>
          <t>T.I</t>
        </is>
      </c>
      <c r="H81" s="87" t="n">
        <v>740.38</v>
      </c>
    </row>
    <row r="82">
      <c r="A82" s="86" t="inlineStr">
        <is>
          <t>Jun/26</t>
        </is>
      </c>
      <c r="B82" s="86" t="inlineStr">
        <is>
          <t>24/06/2026</t>
        </is>
      </c>
      <c r="C82" s="86" t="inlineStr">
        <is>
          <t>TELEFONICA BRASIL S.A.</t>
        </is>
      </c>
      <c r="D82" s="86" t="inlineStr">
        <is>
          <t>FAT.Vivo 04 2026</t>
        </is>
      </c>
      <c r="E82" s="86" t="inlineStr">
        <is>
          <t>110752/1</t>
        </is>
      </c>
      <c r="F82" s="86" t="inlineStr">
        <is>
          <t>Tetus</t>
        </is>
      </c>
      <c r="G82" s="86" t="inlineStr">
        <is>
          <t>T.I</t>
        </is>
      </c>
      <c r="H82" s="87" t="n">
        <v>184.86</v>
      </c>
    </row>
    <row r="83">
      <c r="A83" s="86" t="inlineStr">
        <is>
          <t>Jun/26</t>
        </is>
      </c>
      <c r="B83" s="86" t="inlineStr">
        <is>
          <t>24/06/2026</t>
        </is>
      </c>
      <c r="C83" s="86" t="inlineStr">
        <is>
          <t>TELEFONICA BRASIL S.A.</t>
        </is>
      </c>
      <c r="D83" s="86" t="inlineStr">
        <is>
          <t>FAT.Vivo 05 2026</t>
        </is>
      </c>
      <c r="E83" s="86" t="inlineStr">
        <is>
          <t>110753/1</t>
        </is>
      </c>
      <c r="F83" s="86" t="inlineStr">
        <is>
          <t>Tetus</t>
        </is>
      </c>
      <c r="G83" s="86" t="inlineStr">
        <is>
          <t>T.I</t>
        </is>
      </c>
      <c r="H83" s="87" t="n">
        <v>184.86</v>
      </c>
    </row>
    <row r="84">
      <c r="A84" s="86" t="inlineStr">
        <is>
          <t>Jun/26</t>
        </is>
      </c>
      <c r="B84" s="86" t="inlineStr">
        <is>
          <t>25/06/2026</t>
        </is>
      </c>
      <c r="C84" s="86" t="inlineStr">
        <is>
          <t>TELEFONICA BRASIL S.A.</t>
        </is>
      </c>
      <c r="D84" s="86" t="inlineStr">
        <is>
          <t>FAT.Vivo 06 2026</t>
        </is>
      </c>
      <c r="E84" s="86" t="inlineStr">
        <is>
          <t>110754/1</t>
        </is>
      </c>
      <c r="F84" s="86" t="inlineStr">
        <is>
          <t>Tetus</t>
        </is>
      </c>
      <c r="G84" s="86" t="inlineStr">
        <is>
          <t>T.I</t>
        </is>
      </c>
      <c r="H84" s="87" t="n">
        <v>184.86</v>
      </c>
    </row>
    <row r="85">
      <c r="A85" s="86" t="inlineStr">
        <is>
          <t>Jun/26</t>
        </is>
      </c>
      <c r="B85" s="86" t="inlineStr">
        <is>
          <t>15/06/2026</t>
        </is>
      </c>
      <c r="C85" s="86" t="inlineStr">
        <is>
          <t>VC1 SOLUCOES EM TECNOLOGIA EIRELI</t>
        </is>
      </c>
      <c r="D85" s="86" t="inlineStr">
        <is>
          <t>BOL.1017717992</t>
        </is>
      </c>
      <c r="E85" s="86" t="inlineStr">
        <is>
          <t>109298/1</t>
        </is>
      </c>
      <c r="F85" s="86" t="inlineStr">
        <is>
          <t>Tetus</t>
        </is>
      </c>
      <c r="G85" s="86" t="inlineStr">
        <is>
          <t>T.I</t>
        </is>
      </c>
      <c r="H85" s="87" t="n">
        <v>137.93</v>
      </c>
    </row>
    <row r="86">
      <c r="A86" s="86" t="inlineStr">
        <is>
          <t>Jun/26</t>
        </is>
      </c>
      <c r="B86" s="86" t="inlineStr">
        <is>
          <t>03/06/2026</t>
        </is>
      </c>
      <c r="C86" s="86" t="inlineStr">
        <is>
          <t>VINICIUS DI FRANCO HEITOR</t>
        </is>
      </c>
      <c r="D86" s="86" t="inlineStr">
        <is>
          <t>CX.27.05.26</t>
        </is>
      </c>
      <c r="E86" s="86" t="inlineStr">
        <is>
          <t>108827/1</t>
        </is>
      </c>
      <c r="F86" s="86" t="inlineStr">
        <is>
          <t>Tetus</t>
        </is>
      </c>
      <c r="G86" s="86" t="inlineStr">
        <is>
          <t>T.I</t>
        </is>
      </c>
      <c r="H86" s="87" t="n">
        <v>184</v>
      </c>
    </row>
    <row r="87">
      <c r="A87" s="86" t="inlineStr">
        <is>
          <t>Jun/26</t>
        </is>
      </c>
      <c r="B87" s="86" t="inlineStr">
        <is>
          <t>03/06/2026</t>
        </is>
      </c>
      <c r="C87" s="86" t="inlineStr">
        <is>
          <t>VINICIUS DI FRANCO HEITOR</t>
        </is>
      </c>
      <c r="D87" s="86" t="inlineStr">
        <is>
          <t>SAL.1_ Ferias 1 VIn D 26</t>
        </is>
      </c>
      <c r="E87" s="86" t="inlineStr">
        <is>
          <t>107780/1</t>
        </is>
      </c>
      <c r="F87" s="86" t="inlineStr">
        <is>
          <t>Tetus</t>
        </is>
      </c>
      <c r="G87" s="86" t="inlineStr">
        <is>
          <t>T.I</t>
        </is>
      </c>
      <c r="H87" s="87" t="n">
        <v>1101.12</v>
      </c>
    </row>
    <row r="88">
      <c r="A88" s="86" t="inlineStr">
        <is>
          <t>Jun/26</t>
        </is>
      </c>
      <c r="B88" s="86" t="inlineStr">
        <is>
          <t>05/06/2026</t>
        </is>
      </c>
      <c r="C88" s="86" t="inlineStr">
        <is>
          <t>VINICIUS DI FRANCO HEITOR</t>
        </is>
      </c>
      <c r="D88" s="86" t="inlineStr">
        <is>
          <t>SAL.sal 052026</t>
        </is>
      </c>
      <c r="E88" s="86" t="inlineStr">
        <is>
          <t>109482/1</t>
        </is>
      </c>
      <c r="F88" s="86" t="inlineStr">
        <is>
          <t>Tetus</t>
        </is>
      </c>
      <c r="G88" s="86" t="inlineStr">
        <is>
          <t>T.I</t>
        </is>
      </c>
      <c r="H88" s="87" t="n">
        <v>1455</v>
      </c>
    </row>
    <row r="89">
      <c r="A89" s="86" t="inlineStr">
        <is>
          <t>Jun/26</t>
        </is>
      </c>
      <c r="B89" s="86" t="inlineStr">
        <is>
          <t>19/06/2026</t>
        </is>
      </c>
      <c r="C89" s="86" t="inlineStr">
        <is>
          <t>VINICIUS DI FRANCO HEITOR</t>
        </is>
      </c>
      <c r="D89" s="86" t="inlineStr">
        <is>
          <t>SAL.SALARIO06VINI</t>
        </is>
      </c>
      <c r="E89" s="86" t="inlineStr">
        <is>
          <t>110700/1</t>
        </is>
      </c>
      <c r="F89" s="86" t="inlineStr">
        <is>
          <t>Tetus</t>
        </is>
      </c>
      <c r="G89" s="86" t="inlineStr">
        <is>
          <t>T.I</t>
        </is>
      </c>
      <c r="H89" s="87" t="n">
        <v>686</v>
      </c>
    </row>
    <row r="90">
      <c r="A90" s="86" t="inlineStr">
        <is>
          <t>Jun/26</t>
        </is>
      </c>
      <c r="B90" s="86" t="inlineStr">
        <is>
          <t>2026-06-20 00:00:00</t>
        </is>
      </c>
      <c r="C90" s="86" t="inlineStr">
        <is>
          <t>VINICIUS DI FRANCO HEITOR</t>
        </is>
      </c>
      <c r="D90" s="86" t="inlineStr">
        <is>
          <t>FGTS/INSS</t>
        </is>
      </c>
      <c r="E90" s="86" t="inlineStr">
        <is>
          <t>113754/6</t>
        </is>
      </c>
      <c r="F90" s="86" t="inlineStr">
        <is>
          <t>Tetus</t>
        </is>
      </c>
      <c r="G90" s="86" t="inlineStr">
        <is>
          <t>T.I</t>
        </is>
      </c>
      <c r="H90" s="87" t="n">
        <v>207.04</v>
      </c>
    </row>
    <row r="91">
      <c r="A91" s="86" t="inlineStr">
        <is>
          <t>Jun/26</t>
        </is>
      </c>
      <c r="B91" s="86" t="inlineStr">
        <is>
          <t>2026-06-01 00:00:00</t>
        </is>
      </c>
      <c r="C91" s="86" t="inlineStr">
        <is>
          <t>Vale Alimentação Vinicius</t>
        </is>
      </c>
      <c r="D91" s="86" t="inlineStr"/>
      <c r="E91" s="86" t="inlineStr"/>
      <c r="F91" s="86" t="inlineStr">
        <is>
          <t>Tetus</t>
        </is>
      </c>
      <c r="G91" s="86" t="inlineStr">
        <is>
          <t>T.I</t>
        </is>
      </c>
      <c r="H91" s="87" t="n">
        <v>485</v>
      </c>
    </row>
    <row r="92">
      <c r="A92" s="86" t="inlineStr">
        <is>
          <t>Jun/26</t>
        </is>
      </c>
      <c r="B92" s="86" t="inlineStr">
        <is>
          <t>25/06/2026</t>
        </is>
      </c>
      <c r="C92" s="86" t="inlineStr">
        <is>
          <t>WEB MOBILE TELECOM LTDA</t>
        </is>
      </c>
      <c r="D92" s="86" t="inlineStr">
        <is>
          <t>NFS.33</t>
        </is>
      </c>
      <c r="E92" s="86" t="inlineStr">
        <is>
          <t>110902/1</t>
        </is>
      </c>
      <c r="F92" s="86" t="inlineStr">
        <is>
          <t>Tetus</t>
        </is>
      </c>
      <c r="G92" s="86" t="inlineStr">
        <is>
          <t>T.I</t>
        </is>
      </c>
      <c r="H92" s="87" t="n">
        <v>75</v>
      </c>
    </row>
    <row r="93">
      <c r="A93" s="86" t="inlineStr">
        <is>
          <t>Jul/26</t>
        </is>
      </c>
      <c r="B93" s="86" t="inlineStr">
        <is>
          <t>28/07/2026</t>
        </is>
      </c>
      <c r="C93" s="86" t="inlineStr">
        <is>
          <t>CLARO S.A.</t>
        </is>
      </c>
      <c r="D93" s="86" t="inlineStr">
        <is>
          <t>FAT.Claro 07.26</t>
        </is>
      </c>
      <c r="E93" s="86" t="inlineStr">
        <is>
          <t>113575/1</t>
        </is>
      </c>
      <c r="F93" s="86" t="inlineStr">
        <is>
          <t>Tetus</t>
        </is>
      </c>
      <c r="G93" s="86" t="inlineStr">
        <is>
          <t>T.I</t>
        </is>
      </c>
      <c r="H93" s="87" t="n">
        <v>20.39</v>
      </c>
    </row>
    <row r="94">
      <c r="A94" s="86" t="inlineStr">
        <is>
          <t>Jul/26</t>
        </is>
      </c>
      <c r="B94" s="86" t="inlineStr">
        <is>
          <t>28/07/2026</t>
        </is>
      </c>
      <c r="C94" s="86" t="inlineStr">
        <is>
          <t>CLARO S.A.</t>
        </is>
      </c>
      <c r="D94" s="86" t="inlineStr">
        <is>
          <t>FAT.Claro 07.26</t>
        </is>
      </c>
      <c r="E94" s="86" t="inlineStr">
        <is>
          <t>113575/2</t>
        </is>
      </c>
      <c r="F94" s="86" t="inlineStr">
        <is>
          <t>Tetus</t>
        </is>
      </c>
      <c r="G94" s="86" t="inlineStr">
        <is>
          <t>T.I</t>
        </is>
      </c>
      <c r="H94" s="87" t="n">
        <v>133.73</v>
      </c>
    </row>
    <row r="95">
      <c r="A95" s="86" t="inlineStr">
        <is>
          <t>Jul/26</t>
        </is>
      </c>
      <c r="B95" s="86" t="inlineStr">
        <is>
          <t>28/07/2026</t>
        </is>
      </c>
      <c r="C95" s="86" t="inlineStr">
        <is>
          <t>CLARO S.A.</t>
        </is>
      </c>
      <c r="D95" s="86" t="inlineStr">
        <is>
          <t>FAT.Claro 07.26</t>
        </is>
      </c>
      <c r="E95" s="86" t="inlineStr">
        <is>
          <t>113575/3</t>
        </is>
      </c>
      <c r="F95" s="86" t="inlineStr">
        <is>
          <t>Tetus</t>
        </is>
      </c>
      <c r="G95" s="86" t="inlineStr">
        <is>
          <t>T.I</t>
        </is>
      </c>
      <c r="H95" s="87" t="n">
        <v>825.28</v>
      </c>
    </row>
    <row r="96">
      <c r="A96" s="86" t="inlineStr">
        <is>
          <t>Jul/26</t>
        </is>
      </c>
      <c r="B96" s="86" t="inlineStr">
        <is>
          <t>30/07/2026</t>
        </is>
      </c>
      <c r="C96" s="86" t="inlineStr">
        <is>
          <t>INTELBRAS S.A. INDUSTRIA DE TELECOMUNICACAO ELETRONICA BRASILEIRA</t>
        </is>
      </c>
      <c r="D96" s="86" t="inlineStr">
        <is>
          <t>NFS.377682</t>
        </is>
      </c>
      <c r="E96" s="86" t="inlineStr">
        <is>
          <t>114092/1</t>
        </is>
      </c>
      <c r="F96" s="86" t="inlineStr">
        <is>
          <t>Tetus</t>
        </is>
      </c>
      <c r="G96" s="86" t="inlineStr">
        <is>
          <t>T.I</t>
        </is>
      </c>
      <c r="H96" s="87" t="n">
        <v>79.59999999999999</v>
      </c>
    </row>
    <row r="97">
      <c r="A97" s="86" t="inlineStr">
        <is>
          <t>Jul/26</t>
        </is>
      </c>
      <c r="B97" s="86" t="inlineStr">
        <is>
          <t>01/07/2026</t>
        </is>
      </c>
      <c r="C97" s="86" t="inlineStr">
        <is>
          <t>J H ALVES - MONITOR REMOTO</t>
        </is>
      </c>
      <c r="D97" s="86" t="inlineStr">
        <is>
          <t>NFS.3</t>
        </is>
      </c>
      <c r="E97" s="86" t="inlineStr">
        <is>
          <t>111371/1</t>
        </is>
      </c>
      <c r="F97" s="86" t="inlineStr">
        <is>
          <t>Tetus</t>
        </is>
      </c>
      <c r="G97" s="86" t="inlineStr">
        <is>
          <t>T.I</t>
        </is>
      </c>
      <c r="H97" s="87" t="n">
        <v>6300</v>
      </c>
    </row>
    <row r="98">
      <c r="A98" s="86" t="inlineStr">
        <is>
          <t>Jul/26</t>
        </is>
      </c>
      <c r="B98" s="86" t="inlineStr">
        <is>
          <t>25/07/2026</t>
        </is>
      </c>
      <c r="C98" s="86" t="inlineStr">
        <is>
          <t>LOCAWEB SERVICOS DE INTERNET S/A</t>
        </is>
      </c>
      <c r="D98" s="86" t="inlineStr">
        <is>
          <t>BOL.LOCAWEB 07.26</t>
        </is>
      </c>
      <c r="E98" s="86" t="inlineStr">
        <is>
          <t>113049/1</t>
        </is>
      </c>
      <c r="F98" s="86" t="inlineStr">
        <is>
          <t>Tetus</t>
        </is>
      </c>
      <c r="G98" s="86" t="inlineStr">
        <is>
          <t>T.I</t>
        </is>
      </c>
      <c r="H98" s="87" t="n">
        <v>1151.26</v>
      </c>
    </row>
    <row r="99">
      <c r="A99" s="86" t="inlineStr">
        <is>
          <t>Jul/26</t>
        </is>
      </c>
      <c r="B99" s="86" t="inlineStr">
        <is>
          <t>30/07/2026</t>
        </is>
      </c>
      <c r="C99" s="86" t="inlineStr">
        <is>
          <t>SABHA INTELIGENCIA EM TECNOLOGIA LTDA</t>
        </is>
      </c>
      <c r="D99" s="86" t="inlineStr">
        <is>
          <t>NFS.66</t>
        </is>
      </c>
      <c r="E99" s="86" t="inlineStr">
        <is>
          <t>112107/1</t>
        </is>
      </c>
      <c r="F99" s="86" t="inlineStr">
        <is>
          <t>Tetus</t>
        </is>
      </c>
      <c r="G99" s="86" t="inlineStr">
        <is>
          <t>T.I</t>
        </is>
      </c>
      <c r="H99" s="87" t="n">
        <v>1037.38</v>
      </c>
    </row>
    <row r="100">
      <c r="A100" s="86" t="inlineStr">
        <is>
          <t>Jul/26</t>
        </is>
      </c>
      <c r="B100" s="86" t="inlineStr">
        <is>
          <t>06/07/2026</t>
        </is>
      </c>
      <c r="C100" s="86" t="inlineStr">
        <is>
          <t>VINICIUS DI FRANCO HEITOR</t>
        </is>
      </c>
      <c r="D100" s="86" t="inlineStr">
        <is>
          <t>SAL.sal 0626</t>
        </is>
      </c>
      <c r="E100" s="86" t="inlineStr">
        <is>
          <t>112402/1</t>
        </is>
      </c>
      <c r="F100" s="86" t="inlineStr">
        <is>
          <t>Tetus</t>
        </is>
      </c>
      <c r="G100" s="86" t="inlineStr">
        <is>
          <t>T.I</t>
        </is>
      </c>
      <c r="H100" s="87" t="n">
        <v>1225</v>
      </c>
    </row>
    <row r="101">
      <c r="A101" s="86" t="inlineStr">
        <is>
          <t>Jul/26</t>
        </is>
      </c>
      <c r="B101" s="86" t="inlineStr">
        <is>
          <t>20/07/2026</t>
        </is>
      </c>
      <c r="C101" s="86" t="inlineStr">
        <is>
          <t>VINICIUS DI FRANCO HEITOR</t>
        </is>
      </c>
      <c r="D101" s="86" t="inlineStr">
        <is>
          <t>FGTS/INSS</t>
        </is>
      </c>
      <c r="E101" s="86" t="inlineStr">
        <is>
          <t>113754/1</t>
        </is>
      </c>
      <c r="F101" s="86" t="inlineStr">
        <is>
          <t>Tetus</t>
        </is>
      </c>
      <c r="G101" s="86" t="inlineStr">
        <is>
          <t>T.I</t>
        </is>
      </c>
      <c r="H101" s="87" t="n">
        <v>1029</v>
      </c>
    </row>
    <row r="102">
      <c r="A102" s="86" t="inlineStr">
        <is>
          <t>Jul/26</t>
        </is>
      </c>
      <c r="B102" s="86" t="inlineStr">
        <is>
          <t>20/07/2026</t>
        </is>
      </c>
      <c r="C102" s="86" t="inlineStr">
        <is>
          <t>VINICIUS DI FRANCO HEITOR</t>
        </is>
      </c>
      <c r="D102" s="86" t="inlineStr">
        <is>
          <t>FGTS/INSS</t>
        </is>
      </c>
      <c r="E102" s="86" t="inlineStr">
        <is>
          <t>113754/7</t>
        </is>
      </c>
      <c r="F102" s="86" t="inlineStr">
        <is>
          <t>Tetus</t>
        </is>
      </c>
      <c r="G102" s="86" t="inlineStr">
        <is>
          <t>T.I</t>
        </is>
      </c>
      <c r="H102" s="87" t="n">
        <v>207.04</v>
      </c>
    </row>
    <row r="103">
      <c r="A103" s="86" t="inlineStr">
        <is>
          <t>Jul/26</t>
        </is>
      </c>
      <c r="B103" s="86" t="inlineStr">
        <is>
          <t>2026-07-01 00:00:00</t>
        </is>
      </c>
      <c r="C103" s="86" t="inlineStr">
        <is>
          <t>Vale Alimentação Vinicius</t>
        </is>
      </c>
      <c r="D103" s="86" t="inlineStr"/>
      <c r="E103" s="86" t="inlineStr"/>
      <c r="F103" s="86" t="inlineStr">
        <is>
          <t>Tetus</t>
        </is>
      </c>
      <c r="G103" s="86" t="inlineStr">
        <is>
          <t>T.I</t>
        </is>
      </c>
      <c r="H103" s="87" t="n">
        <v>485</v>
      </c>
    </row>
    <row r="104">
      <c r="A104" s="86" t="inlineStr">
        <is>
          <t>Jul/26</t>
        </is>
      </c>
      <c r="B104" s="86" t="inlineStr">
        <is>
          <t>25/07/2026</t>
        </is>
      </c>
      <c r="C104" s="86" t="inlineStr">
        <is>
          <t>WEB MOBILE TELECOM LTDA</t>
        </is>
      </c>
      <c r="D104" s="86" t="inlineStr">
        <is>
          <t>NFS.84</t>
        </is>
      </c>
      <c r="E104" s="86" t="inlineStr">
        <is>
          <t>113583/1</t>
        </is>
      </c>
      <c r="F104" s="86" t="inlineStr">
        <is>
          <t>Tetus</t>
        </is>
      </c>
      <c r="G104" s="86" t="inlineStr">
        <is>
          <t>T.I</t>
        </is>
      </c>
      <c r="H104" s="87" t="n">
        <v>82.5</v>
      </c>
    </row>
    <row r="105">
      <c r="G105" s="88" t="inlineStr">
        <is>
          <t>TOTAL</t>
        </is>
      </c>
      <c r="H105" s="89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2026-08-06T16:39:06Z</dcterms:created>
  <dcterms:modified xsi:type="dcterms:W3CDTF">2026-08-06T16:39:07Z</dcterms:modified>
</cp:coreProperties>
</file>