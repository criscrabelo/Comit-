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3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-SUMIF(Comparativo!$Q$6:$Q$17,"&lt;0")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-SUMIF(Comparativo!$Q$6:$Q$17,"&gt;0")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-SUM(Comparativo!$Q$6:$Q$17)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IFERROR(-SUM(Comparativo!$Q$6:$Q$17)/Comparativo!$D$3*12,"")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IFERROR(-SUM(Comparativo!$Q$6:$Q$17)/SUM(Comparativo!$S$6:$S$17),"")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IFERROR(INDEX(Comparativo!$D$6:$D$17,MATCH(LARGE(Comparativo!$R$6:$R$17,A21),Comparativo!$R$6:$R$17,0)),"")</f>
        <v/>
      </c>
      <c r="C21" s="26">
        <f>IFERROR(INDEX(Comparativo!$B$6:$B$17,MATCH(LARGE(Comparativo!$R$6:$R$17,A21),Comparativo!$R$6:$R$17,0)),"")</f>
        <v/>
      </c>
      <c r="D21" s="27">
        <f>IFERROR(INDEX(Comparativo!$I$6:$I$17,MATCH(LARGE(Comparativo!$R$6:$R$17,A21),Comparativo!$R$6:$R$17,0)),"")</f>
        <v/>
      </c>
      <c r="E21" s="27">
        <f>IFERROR(INDEX(Comparativo!$J$6:$J$17,MATCH(LARGE(Comparativo!$R$6:$R$17,A21),Comparativo!$R$6:$R$17,0)),"")</f>
        <v/>
      </c>
      <c r="F21" s="28">
        <f>IFERROR(-IFERROR(INDEX(Comparativo!$K$6:$K$17,MATCH(LARGE(Comparativo!$R$6:$R$17,A21),Comparativo!$R$6:$R$17,0)),""),"")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IFERROR(INDEX(Comparativo!$D$6:$D$17,MATCH(LARGE(Comparativo!$R$6:$R$17,A22),Comparativo!$R$6:$R$17,0)),"")</f>
        <v/>
      </c>
      <c r="C22" s="26">
        <f>IFERROR(INDEX(Comparativo!$B$6:$B$17,MATCH(LARGE(Comparativo!$R$6:$R$17,A22),Comparativo!$R$6:$R$17,0)),"")</f>
        <v/>
      </c>
      <c r="D22" s="27">
        <f>IFERROR(INDEX(Comparativo!$I$6:$I$17,MATCH(LARGE(Comparativo!$R$6:$R$17,A22),Comparativo!$R$6:$R$17,0)),"")</f>
        <v/>
      </c>
      <c r="E22" s="27">
        <f>IFERROR(INDEX(Comparativo!$J$6:$J$17,MATCH(LARGE(Comparativo!$R$6:$R$17,A22),Comparativo!$R$6:$R$17,0)),"")</f>
        <v/>
      </c>
      <c r="F22" s="28">
        <f>IFERROR(-IFERROR(INDEX(Comparativo!$K$6:$K$17,MATCH(LARGE(Comparativo!$R$6:$R$17,A22),Comparativo!$R$6:$R$17,0)),""),"")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IFERROR(INDEX(Comparativo!$D$6:$D$17,MATCH(LARGE(Comparativo!$R$6:$R$17,A23),Comparativo!$R$6:$R$17,0)),"")</f>
        <v/>
      </c>
      <c r="C23" s="26">
        <f>IFERROR(INDEX(Comparativo!$B$6:$B$17,MATCH(LARGE(Comparativo!$R$6:$R$17,A23),Comparativo!$R$6:$R$17,0)),"")</f>
        <v/>
      </c>
      <c r="D23" s="27">
        <f>IFERROR(INDEX(Comparativo!$I$6:$I$17,MATCH(LARGE(Comparativo!$R$6:$R$17,A23),Comparativo!$R$6:$R$17,0)),"")</f>
        <v/>
      </c>
      <c r="E23" s="27">
        <f>IFERROR(INDEX(Comparativo!$J$6:$J$17,MATCH(LARGE(Comparativo!$R$6:$R$17,A23),Comparativo!$R$6:$R$17,0)),"")</f>
        <v/>
      </c>
      <c r="F23" s="28">
        <f>IFERROR(-IFERROR(INDEX(Comparativo!$K$6:$K$17,MATCH(LARGE(Comparativo!$R$6:$R$17,A23),Comparativo!$R$6:$R$17,0)),""),"")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IFERROR(INDEX(Comparativo!$D$6:$D$17,MATCH(LARGE(Comparativo!$R$6:$R$17,A24),Comparativo!$R$6:$R$17,0)),"")</f>
        <v/>
      </c>
      <c r="C24" s="26">
        <f>IFERROR(INDEX(Comparativo!$B$6:$B$17,MATCH(LARGE(Comparativo!$R$6:$R$17,A24),Comparativo!$R$6:$R$17,0)),"")</f>
        <v/>
      </c>
      <c r="D24" s="27">
        <f>IFERROR(INDEX(Comparativo!$I$6:$I$17,MATCH(LARGE(Comparativo!$R$6:$R$17,A24),Comparativo!$R$6:$R$17,0)),"")</f>
        <v/>
      </c>
      <c r="E24" s="27">
        <f>IFERROR(INDEX(Comparativo!$J$6:$J$17,MATCH(LARGE(Comparativo!$R$6:$R$17,A24),Comparativo!$R$6:$R$17,0)),"")</f>
        <v/>
      </c>
      <c r="F24" s="28">
        <f>IFERROR(-IFERROR(INDEX(Comparativo!$K$6:$K$17,MATCH(LARGE(Comparativo!$R$6:$R$17,A24),Comparativo!$R$6:$R$17,0)),""),"")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IFERROR(INDEX(Comparativo!$D$6:$D$17,MATCH(LARGE(Comparativo!$R$6:$R$17,A25),Comparativo!$R$6:$R$17,0)),"")</f>
        <v/>
      </c>
      <c r="C25" s="26">
        <f>IFERROR(INDEX(Comparativo!$B$6:$B$17,MATCH(LARGE(Comparativo!$R$6:$R$17,A25),Comparativo!$R$6:$R$17,0)),"")</f>
        <v/>
      </c>
      <c r="D25" s="27">
        <f>IFERROR(INDEX(Comparativo!$I$6:$I$17,MATCH(LARGE(Comparativo!$R$6:$R$17,A25),Comparativo!$R$6:$R$17,0)),"")</f>
        <v/>
      </c>
      <c r="E25" s="27">
        <f>IFERROR(INDEX(Comparativo!$J$6:$J$17,MATCH(LARGE(Comparativo!$R$6:$R$17,A25),Comparativo!$R$6:$R$17,0)),"")</f>
        <v/>
      </c>
      <c r="F25" s="28">
        <f>IFERROR(-IFERROR(INDEX(Comparativo!$K$6:$K$17,MATCH(LARGE(Comparativo!$R$6:$R$17,A25),Comparativo!$R$6:$R$17,0)),""),"")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IFERROR(INDEX(Comparativo!$D$6:$D$17,MATCH(LARGE(Comparativo!$O$6:$O$17,A30),Comparativo!$O$6:$O$17,0)),"")</f>
        <v/>
      </c>
      <c r="C30" s="26">
        <f>IFERROR(INDEX(Comparativo!$B$6:$B$17,MATCH(LARGE(Comparativo!$O$6:$O$17,A30),Comparativo!$O$6:$O$17,0)),"")</f>
        <v/>
      </c>
      <c r="D30" s="27">
        <f>IFERROR(INDEX(Comparativo!$I$6:$I$17,MATCH(LARGE(Comparativo!$O$6:$O$17,A30),Comparativo!$O$6:$O$17,0)),"")</f>
        <v/>
      </c>
      <c r="E30" s="27">
        <f>IFERROR(INDEX(Comparativo!$J$6:$J$17,MATCH(LARGE(Comparativo!$O$6:$O$17,A30),Comparativo!$O$6:$O$17,0)),"")</f>
        <v/>
      </c>
      <c r="F30" s="27">
        <f>IFERROR(INDEX(Comparativo!$K$6:$K$17,MATCH(LARGE(Comparativo!$O$6:$O$17,A30),Comparativo!$O$6:$O$17,0)),"")</f>
        <v/>
      </c>
      <c r="G30" s="29">
        <f>IFERROR(F30/D30,"")</f>
        <v/>
      </c>
    </row>
    <row r="31">
      <c r="A31" s="25" t="n">
        <v>2</v>
      </c>
      <c r="B31" s="26">
        <f>IFERROR(INDEX(Comparativo!$D$6:$D$17,MATCH(LARGE(Comparativo!$O$6:$O$17,A31),Comparativo!$O$6:$O$17,0)),"")</f>
        <v/>
      </c>
      <c r="C31" s="26">
        <f>IFERROR(INDEX(Comparativo!$B$6:$B$17,MATCH(LARGE(Comparativo!$O$6:$O$17,A31),Comparativo!$O$6:$O$17,0)),"")</f>
        <v/>
      </c>
      <c r="D31" s="27">
        <f>IFERROR(INDEX(Comparativo!$I$6:$I$17,MATCH(LARGE(Comparativo!$O$6:$O$17,A31),Comparativo!$O$6:$O$17,0)),"")</f>
        <v/>
      </c>
      <c r="E31" s="27">
        <f>IFERROR(INDEX(Comparativo!$J$6:$J$17,MATCH(LARGE(Comparativo!$O$6:$O$17,A31),Comparativo!$O$6:$O$17,0)),"")</f>
        <v/>
      </c>
      <c r="F31" s="27">
        <f>IFERROR(INDEX(Comparativo!$K$6:$K$17,MATCH(LARGE(Comparativo!$O$6:$O$17,A31),Comparativo!$O$6:$O$17,0)),"")</f>
        <v/>
      </c>
      <c r="G31" s="29">
        <f>IFERROR(F31/D31,"")</f>
        <v/>
      </c>
    </row>
    <row r="32">
      <c r="A32" s="25" t="n">
        <v>3</v>
      </c>
      <c r="B32" s="26">
        <f>IFERROR(INDEX(Comparativo!$D$6:$D$17,MATCH(LARGE(Comparativo!$O$6:$O$17,A32),Comparativo!$O$6:$O$17,0)),"")</f>
        <v/>
      </c>
      <c r="C32" s="26">
        <f>IFERROR(INDEX(Comparativo!$B$6:$B$17,MATCH(LARGE(Comparativo!$O$6:$O$17,A32),Comparativo!$O$6:$O$17,0)),"")</f>
        <v/>
      </c>
      <c r="D32" s="27">
        <f>IFERROR(INDEX(Comparativo!$I$6:$I$17,MATCH(LARGE(Comparativo!$O$6:$O$17,A32),Comparativo!$O$6:$O$17,0)),"")</f>
        <v/>
      </c>
      <c r="E32" s="27">
        <f>IFERROR(INDEX(Comparativo!$J$6:$J$17,MATCH(LARGE(Comparativo!$O$6:$O$17,A32),Comparativo!$O$6:$O$17,0)),"")</f>
        <v/>
      </c>
      <c r="F32" s="27">
        <f>IFERROR(INDEX(Comparativo!$K$6:$K$17,MATCH(LARGE(Comparativo!$O$6:$O$17,A32),Comparativo!$O$6:$O$17,0)),"")</f>
        <v/>
      </c>
      <c r="G32" s="29">
        <f>IFERROR(F32/D32,"")</f>
        <v/>
      </c>
    </row>
    <row r="33">
      <c r="A33" s="25" t="n">
        <v>4</v>
      </c>
      <c r="B33" s="26">
        <f>IFERROR(INDEX(Comparativo!$D$6:$D$17,MATCH(LARGE(Comparativo!$O$6:$O$17,A33),Comparativo!$O$6:$O$17,0)),"")</f>
        <v/>
      </c>
      <c r="C33" s="26">
        <f>IFERROR(INDEX(Comparativo!$B$6:$B$17,MATCH(LARGE(Comparativo!$O$6:$O$17,A33),Comparativo!$O$6:$O$17,0)),"")</f>
        <v/>
      </c>
      <c r="D33" s="27">
        <f>IFERROR(INDEX(Comparativo!$I$6:$I$17,MATCH(LARGE(Comparativo!$O$6:$O$17,A33),Comparativo!$O$6:$O$17,0)),"")</f>
        <v/>
      </c>
      <c r="E33" s="27">
        <f>IFERROR(INDEX(Comparativo!$J$6:$J$17,MATCH(LARGE(Comparativo!$O$6:$O$17,A33),Comparativo!$O$6:$O$17,0)),"")</f>
        <v/>
      </c>
      <c r="F33" s="27">
        <f>IFERROR(INDEX(Comparativo!$K$6:$K$17,MATCH(LARGE(Comparativo!$O$6:$O$17,A33),Comparativo!$O$6:$O$17,0)),"")</f>
        <v/>
      </c>
      <c r="G33" s="29">
        <f>IFERROR(F33/D33,"")</f>
        <v/>
      </c>
    </row>
    <row r="34">
      <c r="A34" s="25" t="n">
        <v>5</v>
      </c>
      <c r="B34" s="26">
        <f>IFERROR(INDEX(Comparativo!$D$6:$D$17,MATCH(LARGE(Comparativo!$O$6:$O$17,A34),Comparativo!$O$6:$O$17,0)),"")</f>
        <v/>
      </c>
      <c r="C34" s="26">
        <f>IFERROR(INDEX(Comparativo!$B$6:$B$17,MATCH(LARGE(Comparativo!$O$6:$O$17,A34),Comparativo!$O$6:$O$17,0)),"")</f>
        <v/>
      </c>
      <c r="D34" s="27">
        <f>IFERROR(INDEX(Comparativo!$I$6:$I$17,MATCH(LARGE(Comparativo!$O$6:$O$17,A34),Comparativo!$O$6:$O$17,0)),"")</f>
        <v/>
      </c>
      <c r="E34" s="27">
        <f>IFERROR(INDEX(Comparativo!$J$6:$J$17,MATCH(LARGE(Comparativo!$O$6:$O$17,A34),Comparativo!$O$6:$O$17,0)),"")</f>
        <v/>
      </c>
      <c r="F34" s="27">
        <f>IFERROR(INDEX(Comparativo!$K$6:$K$17,MATCH(LARGE(Comparativo!$O$6:$O$17,A34),Comparativo!$O$6:$O$17,0)),"")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27">
      <c r="A27" s="42" t="inlineStr">
        <is>
          <t>TOTAL GERAL</t>
        </is>
      </c>
      <c r="B27" s="42" t="n"/>
      <c r="C27" s="42" t="n"/>
      <c r="D27" s="42" t="n"/>
      <c r="E27" s="42" t="n"/>
      <c r="F27" s="43">
        <f>SUM(F6:F17)</f>
        <v/>
      </c>
      <c r="G27" s="43">
        <f>SUM(G6:G17)</f>
        <v/>
      </c>
      <c r="H27" s="43">
        <f>SUM(H6:H17)</f>
        <v/>
      </c>
      <c r="I27" s="43">
        <f>SUM(I6:I17)</f>
        <v/>
      </c>
      <c r="J27" s="43">
        <f>SUM(J6:J17)</f>
        <v/>
      </c>
      <c r="K27" s="43">
        <f>SUM(K6:K17)</f>
        <v/>
      </c>
      <c r="L27" s="44">
        <f>IFERROR(K27/I27,"")</f>
        <v/>
      </c>
      <c r="M27" s="44">
        <f>IFERROR(J27/I27,"")</f>
        <v/>
      </c>
      <c r="N27" s="42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TI-D09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Bonificação do time</t>
        </is>
      </c>
      <c r="E16" s="36" t="inlineStr">
        <is>
          <t>Cumprimento de prazos e participação em projetos — CONFIRMAR se houve parcela no 1º quadrimestre</t>
        </is>
      </c>
      <c r="F16" s="35" t="inlineStr"/>
      <c r="G16" s="35" t="inlineStr">
        <is>
          <t>Prêmios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2400</v>
      </c>
      <c r="P16" s="37" t="n">
        <v>0</v>
      </c>
      <c r="Q16" s="37" t="n">
        <v>0</v>
      </c>
      <c r="R16" s="37" t="n">
        <v>0</v>
      </c>
      <c r="S16" s="37" t="n">
        <v>3600</v>
      </c>
      <c r="T16" s="45">
        <f>SUM(H16:S16)</f>
        <v/>
      </c>
    </row>
    <row r="17">
      <c r="A17" s="42" t="inlineStr">
        <is>
          <t>TOTAL GERAL</t>
        </is>
      </c>
      <c r="B17" s="42" t="n"/>
      <c r="C17" s="42" t="n"/>
      <c r="D17" s="42" t="n"/>
      <c r="E17" s="42" t="n"/>
      <c r="F17" s="42" t="n"/>
      <c r="G17" s="42" t="n"/>
      <c r="H17" s="43">
        <f>SUM(H5:H16)</f>
        <v/>
      </c>
      <c r="I17" s="43">
        <f>SUM(I5:I16)</f>
        <v/>
      </c>
      <c r="J17" s="43">
        <f>SUM(J5:J16)</f>
        <v/>
      </c>
      <c r="K17" s="43">
        <f>SUM(K5:K16)</f>
        <v/>
      </c>
      <c r="L17" s="43">
        <f>SUM(L5:L16)</f>
        <v/>
      </c>
      <c r="M17" s="43">
        <f>SUM(M5:M16)</f>
        <v/>
      </c>
      <c r="N17" s="43">
        <f>SUM(N5:N16)</f>
        <v/>
      </c>
      <c r="O17" s="43">
        <f>SUM(O5:O16)</f>
        <v/>
      </c>
      <c r="P17" s="43">
        <f>SUM(P5:P16)</f>
        <v/>
      </c>
      <c r="Q17" s="43">
        <f>SUM(Q5:Q16)</f>
        <v/>
      </c>
      <c r="R17" s="43">
        <f>SUM(R5:R16)</f>
        <v/>
      </c>
      <c r="S17" s="43">
        <f>SUM(S5:S16)</f>
        <v/>
      </c>
      <c r="T17" s="43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T16" s="45">
        <f>SUM(H16:S16)</f>
        <v/>
      </c>
      <c r="U16" s="50" t="n"/>
      <c r="V16" s="50" t="n"/>
    </row>
    <row r="17">
      <c r="A17" s="51" t="inlineStr">
        <is>
          <t>TOTAL GERAL</t>
        </is>
      </c>
      <c r="B17" s="51" t="n"/>
      <c r="C17" s="51" t="n"/>
      <c r="D17" s="51" t="n"/>
      <c r="E17" s="51" t="n"/>
      <c r="F17" s="51" t="n"/>
      <c r="G17" s="51" t="n"/>
      <c r="H17" s="52">
        <f>SUM(H5:H16)</f>
        <v/>
      </c>
      <c r="I17" s="52">
        <f>SUM(I5:I16)</f>
        <v/>
      </c>
      <c r="J17" s="52">
        <f>SUM(J5:J16)</f>
        <v/>
      </c>
      <c r="K17" s="52">
        <f>SUM(K5:K16)</f>
        <v/>
      </c>
      <c r="L17" s="52">
        <f>SUM(L5:L16)</f>
        <v/>
      </c>
      <c r="M17" s="52">
        <f>SUM(M5:M16)</f>
        <v/>
      </c>
      <c r="N17" s="52">
        <f>SUM(N5:N16)</f>
        <v/>
      </c>
      <c r="O17" s="52">
        <f>SUM(O5:O16)</f>
        <v/>
      </c>
      <c r="P17" s="52">
        <f>SUM(P5:P16)</f>
        <v/>
      </c>
      <c r="Q17" s="52">
        <f>SUM(Q5:Q16)</f>
        <v/>
      </c>
      <c r="R17" s="52">
        <f>SUM(R5:R16)</f>
        <v/>
      </c>
      <c r="S17" s="52">
        <f>SUM(S5:S16)</f>
        <v/>
      </c>
      <c r="T17" s="52">
        <f>SUM(T5:T16)</f>
        <v/>
      </c>
      <c r="U17" s="51" t="n"/>
      <c r="V17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SUMIFS(Planejado!$H$5:$H$16,Planejado!$B$5:$B$16,"TI")</f>
        <v/>
      </c>
      <c r="C5" s="54">
        <f>SUMIFS(Realizado!$H$5:$H$16,Realizado!$B$5:$B$16,"TI")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SUMIFS(Planejado!$I$5:$I$16,Planejado!$B$5:$B$16,"TI")</f>
        <v/>
      </c>
      <c r="C6" s="37">
        <f>SUMIFS(Realizado!$I$5:$I$16,Realizado!$B$5:$B$16,"TI")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SUMIFS(Planejado!$J$5:$J$16,Planejado!$B$5:$B$16,"TI")</f>
        <v/>
      </c>
      <c r="C7" s="54">
        <f>SUMIFS(Realizado!$J$5:$J$16,Realizado!$B$5:$B$16,"TI")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SUMIFS(Planejado!$K$5:$K$16,Planejado!$B$5:$B$16,"TI")</f>
        <v/>
      </c>
      <c r="C8" s="37">
        <f>SUMIFS(Realizado!$K$5:$K$16,Realizado!$B$5:$B$16,"TI")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SUMIFS(Planejado!$L$5:$L$16,Planejado!$B$5:$B$16,"TI")</f>
        <v/>
      </c>
      <c r="C9" s="54">
        <f>SUMIFS(Realizado!$L$5:$L$16,Realizado!$B$5:$B$16,"TI")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SUMIFS(Planejado!$M$5:$M$16,Planejado!$B$5:$B$16,"TI")</f>
        <v/>
      </c>
      <c r="C10" s="37">
        <f>SUMIFS(Realizado!$M$5:$M$16,Realizado!$B$5:$B$16,"TI")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SUMIFS(Planejado!$N$5:$N$16,Planejado!$B$5:$B$16,"TI")</f>
        <v/>
      </c>
      <c r="C11" s="54">
        <f>SUMIFS(Realizado!$N$5:$N$16,Realizado!$B$5:$B$16,"TI")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SUMIFS(Planejado!$O$5:$O$16,Planejado!$B$5:$B$16,"TI")</f>
        <v/>
      </c>
      <c r="C12" s="37">
        <f>SUMIFS(Realizado!$O$5:$O$16,Realizado!$B$5:$B$16,"TI")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SUMIFS(Planejado!$P$5:$P$16,Planejado!$B$5:$B$16,"TI")</f>
        <v/>
      </c>
      <c r="C13" s="54">
        <f>SUMIFS(Realizado!$P$5:$P$16,Realizado!$B$5:$B$16,"TI")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SUMIFS(Planejado!$Q$5:$Q$16,Planejado!$B$5:$B$16,"TI")</f>
        <v/>
      </c>
      <c r="C14" s="37">
        <f>SUMIFS(Realizado!$Q$5:$Q$16,Realizado!$B$5:$B$16,"TI")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SUMIFS(Planejado!$R$5:$R$16,Planejado!$B$5:$B$16,"TI")</f>
        <v/>
      </c>
      <c r="C15" s="54">
        <f>SUMIFS(Realizado!$R$5:$R$16,Realizado!$B$5:$B$16,"TI")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SUMIFS(Planejado!$S$5:$S$16,Planejado!$B$5:$B$16,"TI")</f>
        <v/>
      </c>
      <c r="C16" s="37">
        <f>SUMIFS(Realizado!$S$5:$S$16,Realizado!$B$5:$B$16,"TI")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SUMIFS(Comparativo!$I$6:$I$17,Comparativo!$E$6:$E$17,$A5,Comparativo!$B$6:$B$17,"TI")</f>
        <v/>
      </c>
      <c r="C5" s="54">
        <f>SUMIFS(Comparativo!$J$6:$J$17,Comparativo!$E$6:$E$17,$A5,Comparativo!$B$6:$B$17,"TI")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SUMIFS(Planejado!$T$5:$T$16,Planejado!$G$5:$G$16,$A5)</f>
        <v/>
      </c>
    </row>
    <row r="6" ht="20" customHeight="1">
      <c r="A6" s="58" t="inlineStr">
        <is>
          <t>Pessoal - PJ</t>
        </is>
      </c>
      <c r="B6" s="37">
        <f>SUMIFS(Comparativo!$I$6:$I$17,Comparativo!$E$6:$E$17,$A6,Comparativo!$B$6:$B$17,"TI")</f>
        <v/>
      </c>
      <c r="C6" s="37">
        <f>SUMIFS(Comparativo!$J$6:$J$17,Comparativo!$E$6:$E$17,$A6,Comparativo!$B$6:$B$17,"TI")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SUMIFS(Planejado!$T$5:$T$16,Planejado!$G$5:$G$16,$A6)</f>
        <v/>
      </c>
    </row>
    <row r="7" ht="20" customHeight="1">
      <c r="A7" s="56" t="inlineStr">
        <is>
          <t>Licenças de Softwares</t>
        </is>
      </c>
      <c r="B7" s="54">
        <f>SUMIFS(Comparativo!$I$6:$I$17,Comparativo!$E$6:$E$17,$A7,Comparativo!$B$6:$B$17,"TI")</f>
        <v/>
      </c>
      <c r="C7" s="54">
        <f>SUMIFS(Comparativo!$J$6:$J$17,Comparativo!$E$6:$E$17,$A7,Comparativo!$B$6:$B$17,"TI")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SUMIFS(Planejado!$T$5:$T$16,Planejado!$G$5:$G$16,$A7)</f>
        <v/>
      </c>
    </row>
    <row r="8" ht="20" customHeight="1">
      <c r="A8" s="58" t="inlineStr">
        <is>
          <t>Custeio de Treinamento</t>
        </is>
      </c>
      <c r="B8" s="37">
        <f>SUMIFS(Comparativo!$I$6:$I$17,Comparativo!$E$6:$E$17,$A8,Comparativo!$B$6:$B$17,"TI")</f>
        <v/>
      </c>
      <c r="C8" s="37">
        <f>SUMIFS(Comparativo!$J$6:$J$17,Comparativo!$E$6:$E$17,$A8,Comparativo!$B$6:$B$17,"TI")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SUMIFS(Planejado!$T$5:$T$16,Planejado!$G$5:$G$16,$A8)</f>
        <v/>
      </c>
    </row>
    <row r="9" ht="20" customHeight="1">
      <c r="A9" s="56" t="inlineStr">
        <is>
          <t>Prêmios</t>
        </is>
      </c>
      <c r="B9" s="54">
        <f>SUMIFS(Comparativo!$I$6:$I$17,Comparativo!$E$6:$E$17,$A9,Comparativo!$B$6:$B$17,"TI")</f>
        <v/>
      </c>
      <c r="C9" s="54">
        <f>SUMIFS(Comparativo!$J$6:$J$17,Comparativo!$E$6:$E$17,$A9,Comparativo!$B$6:$B$17,"TI")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SUMIFS(Planejado!$T$5:$T$16,Planejado!$G$5:$G$16,$A9)</f>
        <v/>
      </c>
    </row>
    <row r="10" ht="20" customHeight="1">
      <c r="A10" s="58" t="inlineStr">
        <is>
          <t>Equipamentos Eletrônicos Diversos</t>
        </is>
      </c>
      <c r="B10" s="37">
        <f>SUMIFS(Comparativo!$I$6:$I$17,Comparativo!$E$6:$E$17,$A10,Comparativo!$B$6:$B$17,"TI")</f>
        <v/>
      </c>
      <c r="C10" s="37">
        <f>SUMIFS(Comparativo!$J$6:$J$17,Comparativo!$E$6:$E$17,$A10,Comparativo!$B$6:$B$17,"TI")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SUMIFS(Planejado!$T$5:$T$16,Planejado!$G$5:$G$16,$A10)</f>
        <v/>
      </c>
    </row>
    <row r="11" ht="20" customHeight="1">
      <c r="A11" s="56" t="inlineStr">
        <is>
          <t>Móveis e Utensílios</t>
        </is>
      </c>
      <c r="B11" s="54">
        <f>SUMIFS(Comparativo!$I$6:$I$17,Comparativo!$E$6:$E$17,$A11,Comparativo!$B$6:$B$17,"TI")</f>
        <v/>
      </c>
      <c r="C11" s="54">
        <f>SUMIFS(Comparativo!$J$6:$J$17,Comparativo!$E$6:$E$17,$A11,Comparativo!$B$6:$B$17,"TI")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SUMIFS(Planejado!$T$5:$T$16,Planejado!$G$5:$G$16,$A11)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CONFERIR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Se algum contrato tinha valor diferente no 1º quadrimestre, ou se houve bonificação nesse período, o planejado de jan a abr precisa ser corrigido antes de comparar com o realizado.</t>
        </is>
      </c>
      <c r="E8" s="65" t="inlineStr">
        <is>
          <t>Cristiane</t>
        </is>
      </c>
      <c r="F8" s="67" t="inlineStr">
        <is>
          <t>CONFERIR</t>
        </is>
      </c>
    </row>
    <row r="9" ht="58" customHeight="1">
      <c r="A9" s="61" t="inlineStr">
        <is>
          <t>I</t>
        </is>
      </c>
      <c r="B9" s="62" t="inlineStr">
        <is>
          <t>Realizado de jan a abr — A LANÇAR</t>
        </is>
      </c>
      <c r="C9" s="62" t="inlineStr">
        <is>
          <t>As colunas de jan a abr estão em branco na aba Realizado. Só mai, jun e jul foram informados.</t>
        </is>
      </c>
      <c r="D9" s="62" t="inlineStr">
        <is>
          <t>São 4 dos 7 meses já fechados do ano. Sem eles o acumulado e o Painel refletem menos da metade do período decorrido.</t>
        </is>
      </c>
      <c r="E9" s="62" t="inlineStr">
        <is>
          <t>Cristiane</t>
        </is>
      </c>
      <c r="F9" s="63" t="inlineStr">
        <is>
          <t>A LANÇAR</t>
        </is>
      </c>
    </row>
    <row r="10" ht="58" customHeight="1">
      <c r="A10" s="64" t="inlineStr">
        <is>
          <t>J</t>
        </is>
      </c>
      <c r="B10" s="65" t="inlineStr">
        <is>
          <t>Despesas do TI — A LANÇAR</t>
        </is>
      </c>
      <c r="C10" s="65" t="inlineStr">
        <is>
          <t>As 9 linhas de despesas do TI (peças, backup, Adapta, antivírus, Office, sala de reunião, cursos, app de gravação e bonificação) não têm lançamento em nenhum mês.</t>
        </is>
      </c>
      <c r="D10" s="65" t="inlineStr">
        <is>
          <t>São R$ 89.040 orçados no ano, 35% do orçamento do TI. Sem lançamento, o departamento aparece com desvio negativo que é ausência de dado.</t>
        </is>
      </c>
      <c r="E10" s="65" t="inlineStr">
        <is>
          <t>Cristiane</t>
        </is>
      </c>
      <c r="F10" s="63" t="inlineStr">
        <is>
          <t>A LANÇAR</t>
        </is>
      </c>
    </row>
    <row r="11" ht="58" customHeight="1">
      <c r="A11" s="61" t="inlineStr">
        <is>
          <t>1</t>
        </is>
      </c>
      <c r="B11" s="62" t="inlineStr">
        <is>
          <t>Base de meses — reconciliada com a ficha original</t>
        </is>
      </c>
      <c r="C11" s="6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62" t="inlineStr">
        <is>
          <t>Equipe de TI no valor original de R$ 167.778,30. Jonathan lançado com entrada em abr/26 (9 meses), que é o que explica os R$ 90.000.</t>
        </is>
      </c>
      <c r="E11" s="62" t="inlineStr">
        <is>
          <t>Cristiane</t>
        </is>
      </c>
      <c r="F11" s="68" t="inlineStr">
        <is>
          <t>RESOLVIDO</t>
        </is>
      </c>
    </row>
    <row r="12" ht="58" customHeight="1">
      <c r="A12" s="64" t="inlineStr">
        <is>
          <t>2</t>
        </is>
      </c>
      <c r="B12" s="65" t="inlineStr">
        <is>
          <t>Origem do valor realizado</t>
        </is>
      </c>
      <c r="C12" s="65" t="inlineStr">
        <is>
          <t>Ainda não definido se o realizado virá de lançamento manual, de relatório do financeiro/ERP por centro de custo, ou misto. Até aqui os números vieram informados pela gestora.</t>
        </is>
      </c>
      <c r="D12" s="65" t="inlineStr">
        <is>
          <t>Sem fonte definida o realizado pode divergir da contabilidade e o comparativo perde valor na apresentação à diretoria.</t>
        </is>
      </c>
      <c r="E12" s="65" t="inlineStr">
        <is>
          <t>Cristiane + Financeiro</t>
        </is>
      </c>
      <c r="F12" s="66" t="inlineStr">
        <is>
          <t>EM ABERTO</t>
        </is>
      </c>
    </row>
    <row r="13" ht="58" customHeight="1">
      <c r="A13" s="61" t="inlineStr">
        <is>
          <t>4</t>
        </is>
      </c>
      <c r="B13" s="62" t="inlineStr">
        <is>
          <t>Rateio dos softwares corporativos de TI</t>
        </is>
      </c>
      <c r="C13" s="62" t="inlineStr">
        <is>
          <t>Backup (R$ 9.900), Adapta/IA (R$ 17.400), Antivírus (R$ 2.880) e Office 365 (R$ 4.500) estão marcados na ficha como 'não sei se seria administrativo'. Total no ano: R$ 34.680.</t>
        </is>
      </c>
      <c r="D13" s="62" t="inlineStr">
        <is>
          <t>São 39% das despesas do TI. Se são da empresa toda e ficam no centro de custo de TI, o departamento carrega despesa que não é dele e aparece caro.</t>
        </is>
      </c>
      <c r="E13" s="62" t="inlineStr">
        <is>
          <t>Cristiane + Controladoria</t>
        </is>
      </c>
      <c r="F13" s="66" t="inlineStr">
        <is>
          <t>EM ABERTO</t>
        </is>
      </c>
    </row>
    <row r="14" ht="58" customHeight="1">
      <c r="A14" s="64" t="inlineStr">
        <is>
          <t>5</t>
        </is>
      </c>
      <c r="B14" s="65" t="inlineStr">
        <is>
          <t>Sala de Reunião — recorrente ou pontual?</t>
        </is>
      </c>
      <c r="C14" s="65" t="inlineStr">
        <is>
          <t>R$ 2.800/mês × 12 = R$ 33.600 diluídos linearmente, classificados em Móveis e Utensílios.</t>
        </is>
      </c>
      <c r="D14" s="65" t="inlineStr">
        <is>
          <t>Se for compra pontual (CAPEX), o desvio mensal vai acusar alarme falso todo mês até a compra acontecer, e um pico no mês da compra.</t>
        </is>
      </c>
      <c r="E14" s="65" t="inlineStr">
        <is>
          <t>Cristiane</t>
        </is>
      </c>
      <c r="F14" s="66" t="inlineStr">
        <is>
          <t>EM ABERTO</t>
        </is>
      </c>
    </row>
    <row r="15" ht="58" customHeight="1">
      <c r="A15" s="61" t="inlineStr">
        <is>
          <t>6</t>
        </is>
      </c>
      <c r="B15" s="62" t="inlineStr">
        <is>
          <t>Office 365 — nº de licenças</t>
        </is>
      </c>
      <c r="C15" s="62" t="inlineStr">
        <is>
          <t>A observação diz '10 licenças de software – 60 usuários'. Os dois números não fecham entre si.</t>
        </is>
      </c>
      <c r="D15" s="62" t="inlineStr">
        <is>
          <t>Afeta o valor orçado da linha e a projeção de crescimento.</t>
        </is>
      </c>
      <c r="E15" s="62" t="inlineStr">
        <is>
          <t>Cristiane</t>
        </is>
      </c>
      <c r="F15" s="66" t="inlineStr">
        <is>
          <t>EM ABERTO</t>
        </is>
      </c>
    </row>
    <row r="16" ht="58" customHeight="1">
      <c r="A16" s="64" t="inlineStr">
        <is>
          <t>7</t>
        </is>
      </c>
      <c r="B16" s="65" t="inlineStr">
        <is>
          <t>Critério de competência x caixa</t>
        </is>
      </c>
      <c r="C16" s="65" t="inlineStr">
        <is>
          <t>Definir se o realizado será lançado pela data de pagamento (caixa) ou pelo mês de referência da despesa (competência).</t>
        </is>
      </c>
      <c r="D16" s="65" t="inlineStr">
        <is>
          <t>Misturar os dois critérios gera desvio artificial em meses de virada, principalmente em folha e prêmios.</t>
        </is>
      </c>
      <c r="E16" s="65" t="inlineStr">
        <is>
          <t>Cristiane + Financeiro</t>
        </is>
      </c>
      <c r="F16" s="66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69" t="inlineStr">
        <is>
          <t>1</t>
        </is>
      </c>
      <c r="B5" s="70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9" t="inlineStr">
        <is>
          <t>2</t>
        </is>
      </c>
      <c r="B6" s="70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9" t="inlineStr">
        <is>
          <t>3</t>
        </is>
      </c>
      <c r="B7" s="70" t="inlineStr">
        <is>
          <t>Vá na aba COMPARATIVO e selecione o mês em B3. Todas as demais abas acompanham essa escolha.</t>
        </is>
      </c>
    </row>
    <row r="8" ht="34" customHeight="1">
      <c r="A8" s="69" t="inlineStr">
        <is>
          <t>4</t>
        </is>
      </c>
      <c r="B8" s="70" t="inlineStr">
        <is>
          <t>Confira o PAINEL: ele mostra o desvio por departamento e os 5 maiores estouros do acumulado. É a tela para levar à diretoria.</t>
        </is>
      </c>
    </row>
    <row r="9" ht="34" customHeight="1">
      <c r="A9" s="69" t="inlineStr">
        <is>
          <t>5</t>
        </is>
      </c>
      <c r="B9" s="70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69" t="inlineStr">
        <is>
          <t>Desvio positivo (vermelho)</t>
        </is>
      </c>
      <c r="B12" s="70" t="inlineStr">
        <is>
          <t>Gastou ACIMA do orçado.</t>
        </is>
      </c>
    </row>
    <row r="13" ht="34" customHeight="1">
      <c r="A13" s="69" t="inlineStr">
        <is>
          <t>Desvio negativo (verde)</t>
        </is>
      </c>
      <c r="B13" s="70" t="inlineStr">
        <is>
          <t>Gastou ABAIXO do orçado — economia ou despesa ainda não realizada.</t>
        </is>
      </c>
    </row>
    <row r="14" ht="34" customHeight="1">
      <c r="A14" s="69" t="inlineStr">
        <is>
          <t>Planejado acum.</t>
        </is>
      </c>
      <c r="B14" s="70" t="inlineStr">
        <is>
          <t>Soma de maio até o mês selecionado.</t>
        </is>
      </c>
    </row>
    <row r="15" ht="34" customHeight="1">
      <c r="A15" s="69" t="inlineStr">
        <is>
          <t>% Executado</t>
        </is>
      </c>
      <c r="B15" s="70" t="inlineStr">
        <is>
          <t>Realizado acumulado ÷ Planejado acumulado. Perto de 100% = no ritmo.</t>
        </is>
      </c>
    </row>
    <row r="16" ht="34" customHeight="1">
      <c r="A16" s="69" t="inlineStr">
        <is>
          <t>Sem lançamento</t>
        </is>
      </c>
      <c r="B16" s="70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69" t="inlineStr">
        <is>
          <t>Não altere</t>
        </is>
      </c>
      <c r="B19" s="70" t="inlineStr">
        <is>
          <t>As colunas de identificação da aba Realizado (A a G) são fórmulas que espelham a aba Planejado. Alterar quebra o comparativo.</t>
        </is>
      </c>
    </row>
    <row r="20" ht="34" customHeight="1">
      <c r="A20" s="69" t="inlineStr">
        <is>
          <t>Nova linha de orçamento</t>
        </is>
      </c>
      <c r="B20" s="70" t="inlineStr">
        <is>
          <t>Insira na aba Planejado e replique a mesma linha na aba Realizado e na aba Comparativo, mantendo o mesmo ID.</t>
        </is>
      </c>
    </row>
    <row r="21" ht="34" customHeight="1">
      <c r="A21" s="69" t="inlineStr">
        <is>
          <t>Revisão de orçamento</t>
        </is>
      </c>
      <c r="B21" s="70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2026-08-06T11:18:47Z</dcterms:created>
  <dcterms:modified xsi:type="dcterms:W3CDTF">2026-08-06T11:18:47Z</dcterms:modified>
</cp:coreProperties>
</file>