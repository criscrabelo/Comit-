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'Comparativo'!$A$5:$N$21</definedName>
    <definedName name="_xlnm._FilterDatabase" localSheetId="2" hidden="1">'Planejado'!$A$4:$T$20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4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sz val="10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3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SUMIFS(Planejado!$T$5:$T$20,Planejado!$B$5:$B$20,"TI",Planejado!$C$5:$C$20,"Equipe")</f>
        <v/>
      </c>
      <c r="D6" s="8">
        <f>SUMIFS(Comparativo!$I$6:$I$21,Comparativo!$B$6:$B$21,"TI",Comparativo!$C$6:$C$21,"Equipe")</f>
        <v/>
      </c>
      <c r="E6" s="8">
        <f>SUMIFS(Comparativo!$J$6:$J$21,Comparativo!$B$6:$B$21,"TI",Comparativo!$C$6:$C$21,"Equipe")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COUNTIFS(Comparativo!$P$6:$P$21,"&gt;0",Comparativo!$B$6:$B$21,"TI",Comparativo!$C$6:$C$21,"Equipe")&amp;" de "&amp;COUNTIFS(Comparativo!$A$6:$A$21,"?*",Comparativo!$B$6:$B$21,"TI",Comparativo!$C$6:$C$21,"Equipe")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SUMIFS(Planejado!$T$5:$T$20,Planejado!$B$5:$B$20,"TI",Planejado!$C$5:$C$20,"Despesas")</f>
        <v/>
      </c>
      <c r="D7" s="8">
        <f>SUMIFS(Comparativo!$I$6:$I$21,Comparativo!$B$6:$B$21,"TI",Comparativo!$C$6:$C$21,"Despesas")</f>
        <v/>
      </c>
      <c r="E7" s="8">
        <f>SUMIFS(Comparativo!$J$6:$J$21,Comparativo!$B$6:$B$21,"TI",Comparativo!$C$6:$C$21,"Despesas")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COUNTIFS(Comparativo!$P$6:$P$21,"&gt;0",Comparativo!$B$6:$B$21,"TI",Comparativo!$C$6:$C$21,"Despesas")&amp;" de "&amp;COUNTIFS(Comparativo!$A$6:$A$21,"?*",Comparativo!$B$6:$B$21,"TI",Comparativo!$C$6:$C$21,"Despesas")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SUMIFS(Planejado!$T$5:$T$20,Planejado!$B$5:$B$20,"TI")</f>
        <v/>
      </c>
      <c r="D8" s="12">
        <f>SUMIFS(Comparativo!$I$6:$I$21,Comparativo!$B$6:$B$21,"TI")</f>
        <v/>
      </c>
      <c r="E8" s="12">
        <f>SUMIFS(Comparativo!$J$6:$J$21,Comparativo!$B$6:$B$21,"TI")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COUNTIFS(Comparativo!$P$6:$P$21,"&gt;0",Comparativo!$B$6:$B$21,"TI")&amp;" de "&amp;COUNTIFS(Comparativo!$A$6:$A$21,"?*",Comparativo!$B$6:$B$21,"TI")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-SUMIF(Comparativo!$Q$6:$Q$21,"&lt;0")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-SUMIF(Comparativo!$Q$6:$Q$21,"&gt;0")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-SUM(Comparativo!$Q$6:$Q$21)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IFERROR(-SUM(Comparativo!$Q$6:$Q$21)/Comparativo!$D$3*12,"")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IFERROR(-SUM(Comparativo!$Q$6:$Q$21)/SUM(Comparativo!$S$6:$S$21),"")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IFERROR(INDEX(Comparativo!$D$6:$D$21,MATCH(LARGE(Comparativo!$R$6:$R$21,A21),Comparativo!$R$6:$R$21,0)),"")</f>
        <v/>
      </c>
      <c r="C21" s="26">
        <f>IFERROR(INDEX(Comparativo!$B$6:$B$21,MATCH(LARGE(Comparativo!$R$6:$R$21,A21),Comparativo!$R$6:$R$21,0)),"")</f>
        <v/>
      </c>
      <c r="D21" s="27">
        <f>IFERROR(INDEX(Comparativo!$I$6:$I$21,MATCH(LARGE(Comparativo!$R$6:$R$21,A21),Comparativo!$R$6:$R$21,0)),"")</f>
        <v/>
      </c>
      <c r="E21" s="27">
        <f>IFERROR(INDEX(Comparativo!$J$6:$J$21,MATCH(LARGE(Comparativo!$R$6:$R$21,A21),Comparativo!$R$6:$R$21,0)),"")</f>
        <v/>
      </c>
      <c r="F21" s="28">
        <f>IFERROR(-IFERROR(INDEX(Comparativo!$K$6:$K$21,MATCH(LARGE(Comparativo!$R$6:$R$21,A21),Comparativo!$R$6:$R$21,0)),""),"")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IFERROR(INDEX(Comparativo!$D$6:$D$21,MATCH(LARGE(Comparativo!$R$6:$R$21,A22),Comparativo!$R$6:$R$21,0)),"")</f>
        <v/>
      </c>
      <c r="C22" s="26">
        <f>IFERROR(INDEX(Comparativo!$B$6:$B$21,MATCH(LARGE(Comparativo!$R$6:$R$21,A22),Comparativo!$R$6:$R$21,0)),"")</f>
        <v/>
      </c>
      <c r="D22" s="27">
        <f>IFERROR(INDEX(Comparativo!$I$6:$I$21,MATCH(LARGE(Comparativo!$R$6:$R$21,A22),Comparativo!$R$6:$R$21,0)),"")</f>
        <v/>
      </c>
      <c r="E22" s="27">
        <f>IFERROR(INDEX(Comparativo!$J$6:$J$21,MATCH(LARGE(Comparativo!$R$6:$R$21,A22),Comparativo!$R$6:$R$21,0)),"")</f>
        <v/>
      </c>
      <c r="F22" s="28">
        <f>IFERROR(-IFERROR(INDEX(Comparativo!$K$6:$K$21,MATCH(LARGE(Comparativo!$R$6:$R$21,A22),Comparativo!$R$6:$R$21,0)),""),"")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IFERROR(INDEX(Comparativo!$D$6:$D$21,MATCH(LARGE(Comparativo!$R$6:$R$21,A23),Comparativo!$R$6:$R$21,0)),"")</f>
        <v/>
      </c>
      <c r="C23" s="26">
        <f>IFERROR(INDEX(Comparativo!$B$6:$B$21,MATCH(LARGE(Comparativo!$R$6:$R$21,A23),Comparativo!$R$6:$R$21,0)),"")</f>
        <v/>
      </c>
      <c r="D23" s="27">
        <f>IFERROR(INDEX(Comparativo!$I$6:$I$21,MATCH(LARGE(Comparativo!$R$6:$R$21,A23),Comparativo!$R$6:$R$21,0)),"")</f>
        <v/>
      </c>
      <c r="E23" s="27">
        <f>IFERROR(INDEX(Comparativo!$J$6:$J$21,MATCH(LARGE(Comparativo!$R$6:$R$21,A23),Comparativo!$R$6:$R$21,0)),"")</f>
        <v/>
      </c>
      <c r="F23" s="28">
        <f>IFERROR(-IFERROR(INDEX(Comparativo!$K$6:$K$21,MATCH(LARGE(Comparativo!$R$6:$R$21,A23),Comparativo!$R$6:$R$21,0)),""),"")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IFERROR(INDEX(Comparativo!$D$6:$D$21,MATCH(LARGE(Comparativo!$R$6:$R$21,A24),Comparativo!$R$6:$R$21,0)),"")</f>
        <v/>
      </c>
      <c r="C24" s="26">
        <f>IFERROR(INDEX(Comparativo!$B$6:$B$21,MATCH(LARGE(Comparativo!$R$6:$R$21,A24),Comparativo!$R$6:$R$21,0)),"")</f>
        <v/>
      </c>
      <c r="D24" s="27">
        <f>IFERROR(INDEX(Comparativo!$I$6:$I$21,MATCH(LARGE(Comparativo!$R$6:$R$21,A24),Comparativo!$R$6:$R$21,0)),"")</f>
        <v/>
      </c>
      <c r="E24" s="27">
        <f>IFERROR(INDEX(Comparativo!$J$6:$J$21,MATCH(LARGE(Comparativo!$R$6:$R$21,A24),Comparativo!$R$6:$R$21,0)),"")</f>
        <v/>
      </c>
      <c r="F24" s="28">
        <f>IFERROR(-IFERROR(INDEX(Comparativo!$K$6:$K$21,MATCH(LARGE(Comparativo!$R$6:$R$21,A24),Comparativo!$R$6:$R$21,0)),""),"")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IFERROR(INDEX(Comparativo!$D$6:$D$21,MATCH(LARGE(Comparativo!$R$6:$R$21,A25),Comparativo!$R$6:$R$21,0)),"")</f>
        <v/>
      </c>
      <c r="C25" s="26">
        <f>IFERROR(INDEX(Comparativo!$B$6:$B$21,MATCH(LARGE(Comparativo!$R$6:$R$21,A25),Comparativo!$R$6:$R$21,0)),"")</f>
        <v/>
      </c>
      <c r="D25" s="27">
        <f>IFERROR(INDEX(Comparativo!$I$6:$I$21,MATCH(LARGE(Comparativo!$R$6:$R$21,A25),Comparativo!$R$6:$R$21,0)),"")</f>
        <v/>
      </c>
      <c r="E25" s="27">
        <f>IFERROR(INDEX(Comparativo!$J$6:$J$21,MATCH(LARGE(Comparativo!$R$6:$R$21,A25),Comparativo!$R$6:$R$21,0)),"")</f>
        <v/>
      </c>
      <c r="F25" s="28">
        <f>IFERROR(-IFERROR(INDEX(Comparativo!$K$6:$K$21,MATCH(LARGE(Comparativo!$R$6:$R$21,A25),Comparativo!$R$6:$R$21,0)),""),"")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IFERROR(INDEX(Comparativo!$D$6:$D$21,MATCH(LARGE(Comparativo!$O$6:$O$21,A30),Comparativo!$O$6:$O$21,0)),"")</f>
        <v/>
      </c>
      <c r="C30" s="26">
        <f>IFERROR(INDEX(Comparativo!$B$6:$B$21,MATCH(LARGE(Comparativo!$O$6:$O$21,A30),Comparativo!$O$6:$O$21,0)),"")</f>
        <v/>
      </c>
      <c r="D30" s="27">
        <f>IFERROR(INDEX(Comparativo!$I$6:$I$21,MATCH(LARGE(Comparativo!$O$6:$O$21,A30),Comparativo!$O$6:$O$21,0)),"")</f>
        <v/>
      </c>
      <c r="E30" s="27">
        <f>IFERROR(INDEX(Comparativo!$J$6:$J$21,MATCH(LARGE(Comparativo!$O$6:$O$21,A30),Comparativo!$O$6:$O$21,0)),"")</f>
        <v/>
      </c>
      <c r="F30" s="27">
        <f>IFERROR(INDEX(Comparativo!$K$6:$K$21,MATCH(LARGE(Comparativo!$O$6:$O$21,A30),Comparativo!$O$6:$O$21,0)),"")</f>
        <v/>
      </c>
      <c r="G30" s="29">
        <f>IFERROR(F30/D30,"")</f>
        <v/>
      </c>
    </row>
    <row r="31">
      <c r="A31" s="25" t="n">
        <v>2</v>
      </c>
      <c r="B31" s="26">
        <f>IFERROR(INDEX(Comparativo!$D$6:$D$21,MATCH(LARGE(Comparativo!$O$6:$O$21,A31),Comparativo!$O$6:$O$21,0)),"")</f>
        <v/>
      </c>
      <c r="C31" s="26">
        <f>IFERROR(INDEX(Comparativo!$B$6:$B$21,MATCH(LARGE(Comparativo!$O$6:$O$21,A31),Comparativo!$O$6:$O$21,0)),"")</f>
        <v/>
      </c>
      <c r="D31" s="27">
        <f>IFERROR(INDEX(Comparativo!$I$6:$I$21,MATCH(LARGE(Comparativo!$O$6:$O$21,A31),Comparativo!$O$6:$O$21,0)),"")</f>
        <v/>
      </c>
      <c r="E31" s="27">
        <f>IFERROR(INDEX(Comparativo!$J$6:$J$21,MATCH(LARGE(Comparativo!$O$6:$O$21,A31),Comparativo!$O$6:$O$21,0)),"")</f>
        <v/>
      </c>
      <c r="F31" s="27">
        <f>IFERROR(INDEX(Comparativo!$K$6:$K$21,MATCH(LARGE(Comparativo!$O$6:$O$21,A31),Comparativo!$O$6:$O$21,0)),"")</f>
        <v/>
      </c>
      <c r="G31" s="29">
        <f>IFERROR(F31/D31,"")</f>
        <v/>
      </c>
    </row>
    <row r="32">
      <c r="A32" s="25" t="n">
        <v>3</v>
      </c>
      <c r="B32" s="26">
        <f>IFERROR(INDEX(Comparativo!$D$6:$D$21,MATCH(LARGE(Comparativo!$O$6:$O$21,A32),Comparativo!$O$6:$O$21,0)),"")</f>
        <v/>
      </c>
      <c r="C32" s="26">
        <f>IFERROR(INDEX(Comparativo!$B$6:$B$21,MATCH(LARGE(Comparativo!$O$6:$O$21,A32),Comparativo!$O$6:$O$21,0)),"")</f>
        <v/>
      </c>
      <c r="D32" s="27">
        <f>IFERROR(INDEX(Comparativo!$I$6:$I$21,MATCH(LARGE(Comparativo!$O$6:$O$21,A32),Comparativo!$O$6:$O$21,0)),"")</f>
        <v/>
      </c>
      <c r="E32" s="27">
        <f>IFERROR(INDEX(Comparativo!$J$6:$J$21,MATCH(LARGE(Comparativo!$O$6:$O$21,A32),Comparativo!$O$6:$O$21,0)),"")</f>
        <v/>
      </c>
      <c r="F32" s="27">
        <f>IFERROR(INDEX(Comparativo!$K$6:$K$21,MATCH(LARGE(Comparativo!$O$6:$O$21,A32),Comparativo!$O$6:$O$21,0)),"")</f>
        <v/>
      </c>
      <c r="G32" s="29">
        <f>IFERROR(F32/D32,"")</f>
        <v/>
      </c>
    </row>
    <row r="33">
      <c r="A33" s="25" t="n">
        <v>4</v>
      </c>
      <c r="B33" s="26">
        <f>IFERROR(INDEX(Comparativo!$D$6:$D$21,MATCH(LARGE(Comparativo!$O$6:$O$21,A33),Comparativo!$O$6:$O$21,0)),"")</f>
        <v/>
      </c>
      <c r="C33" s="26">
        <f>IFERROR(INDEX(Comparativo!$B$6:$B$21,MATCH(LARGE(Comparativo!$O$6:$O$21,A33),Comparativo!$O$6:$O$21,0)),"")</f>
        <v/>
      </c>
      <c r="D33" s="27">
        <f>IFERROR(INDEX(Comparativo!$I$6:$I$21,MATCH(LARGE(Comparativo!$O$6:$O$21,A33),Comparativo!$O$6:$O$21,0)),"")</f>
        <v/>
      </c>
      <c r="E33" s="27">
        <f>IFERROR(INDEX(Comparativo!$J$6:$J$21,MATCH(LARGE(Comparativo!$O$6:$O$21,A33),Comparativo!$O$6:$O$21,0)),"")</f>
        <v/>
      </c>
      <c r="F33" s="27">
        <f>IFERROR(INDEX(Comparativo!$K$6:$K$21,MATCH(LARGE(Comparativo!$O$6:$O$21,A33),Comparativo!$O$6:$O$21,0)),"")</f>
        <v/>
      </c>
      <c r="G33" s="29">
        <f>IFERROR(F33/D33,"")</f>
        <v/>
      </c>
    </row>
    <row r="34">
      <c r="A34" s="25" t="n">
        <v>5</v>
      </c>
      <c r="B34" s="26">
        <f>IFERROR(INDEX(Comparativo!$D$6:$D$21,MATCH(LARGE(Comparativo!$O$6:$O$21,A34),Comparativo!$O$6:$O$21,0)),"")</f>
        <v/>
      </c>
      <c r="C34" s="26">
        <f>IFERROR(INDEX(Comparativo!$B$6:$B$21,MATCH(LARGE(Comparativo!$O$6:$O$21,A34),Comparativo!$O$6:$O$21,0)),"")</f>
        <v/>
      </c>
      <c r="D34" s="27">
        <f>IFERROR(INDEX(Comparativo!$I$6:$I$21,MATCH(LARGE(Comparativo!$O$6:$O$21,A34),Comparativo!$O$6:$O$21,0)),"")</f>
        <v/>
      </c>
      <c r="E34" s="27">
        <f>IFERROR(INDEX(Comparativo!$J$6:$J$21,MATCH(LARGE(Comparativo!$O$6:$O$21,A34),Comparativo!$O$6:$O$21,0)),"")</f>
        <v/>
      </c>
      <c r="F34" s="27">
        <f>IFERROR(INDEX(Comparativo!$K$6:$K$21,MATCH(LARGE(Comparativo!$O$6:$O$21,A34),Comparativo!$O$6:$O$21,0)),"")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31">
      <c r="A31" s="42" t="inlineStr">
        <is>
          <t>TOTAL GERAL</t>
        </is>
      </c>
      <c r="B31" s="42" t="n"/>
      <c r="C31" s="42" t="n"/>
      <c r="D31" s="42" t="n"/>
      <c r="E31" s="42" t="n"/>
      <c r="F31" s="43">
        <f>SUM(F6:F21)</f>
        <v/>
      </c>
      <c r="G31" s="43">
        <f>SUM(G6:G21)</f>
        <v/>
      </c>
      <c r="H31" s="43">
        <f>SUM(H6:H21)</f>
        <v/>
      </c>
      <c r="I31" s="43">
        <f>SUM(I6:I21)</f>
        <v/>
      </c>
      <c r="J31" s="43">
        <f>SUM(J6:J21)</f>
        <v/>
      </c>
      <c r="K31" s="43">
        <f>SUM(K6:K21)</f>
        <v/>
      </c>
      <c r="L31" s="44">
        <f>IFERROR(K31/I31,"")</f>
        <v/>
      </c>
      <c r="M31" s="44">
        <f>IFERROR(J31/I31,"")</f>
        <v/>
      </c>
      <c r="N31" s="42" t="n"/>
    </row>
  </sheetData>
  <autoFilter ref="A5:N21"/>
  <mergeCells count="2">
    <mergeCell ref="A2:N2"/>
    <mergeCell ref="A1:N1"/>
  </mergeCells>
  <conditionalFormatting sqref="H6:H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1065</v>
      </c>
      <c r="Q6" s="37" t="n">
        <v>1065</v>
      </c>
      <c r="R6" s="37" t="n">
        <v>1065</v>
      </c>
      <c r="S6" s="37" t="n">
        <v>1065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</t>
        </is>
      </c>
      <c r="E7" s="36" t="inlineStr">
        <is>
          <t>Consultor — entrada em abr/26 (9 meses), conforme o total da ficha original</t>
        </is>
      </c>
      <c r="F7" s="35" t="inlineStr">
        <is>
          <t>PJ</t>
        </is>
      </c>
      <c r="G7" s="35" t="inlineStr">
        <is>
          <t>Pessoal - PJ</t>
        </is>
      </c>
      <c r="H7" s="37" t="n">
        <v>0</v>
      </c>
      <c r="I7" s="37" t="n">
        <v>0</v>
      </c>
      <c r="J7" s="37" t="n">
        <v>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TI-D01</t>
        </is>
      </c>
      <c r="B8" s="35" t="inlineStr">
        <is>
          <t>TI</t>
        </is>
      </c>
      <c r="C8" s="35" t="inlineStr">
        <is>
          <t>Despesas</t>
        </is>
      </c>
      <c r="D8" s="36" t="inlineStr">
        <is>
          <t>Peças de Manutenção</t>
        </is>
      </c>
      <c r="E8" s="36" t="inlineStr">
        <is>
          <t>Tela, teclado, carcaça, mouses de reposição, carregadores etc.</t>
        </is>
      </c>
      <c r="F8" s="35" t="inlineStr"/>
      <c r="G8" s="35" t="inlineStr">
        <is>
          <t>Equipamentos Eletrônicos Diversos</t>
        </is>
      </c>
      <c r="H8" s="37" t="n">
        <v>810</v>
      </c>
      <c r="I8" s="37" t="n">
        <v>810</v>
      </c>
      <c r="J8" s="37" t="n">
        <v>810</v>
      </c>
      <c r="K8" s="37" t="n">
        <v>810</v>
      </c>
      <c r="L8" s="37" t="n">
        <v>810</v>
      </c>
      <c r="M8" s="37" t="n">
        <v>810</v>
      </c>
      <c r="N8" s="37" t="n">
        <v>810</v>
      </c>
      <c r="O8" s="37" t="n">
        <v>810</v>
      </c>
      <c r="P8" s="37" t="n">
        <v>810</v>
      </c>
      <c r="Q8" s="37" t="n">
        <v>810</v>
      </c>
      <c r="R8" s="37" t="n">
        <v>810</v>
      </c>
      <c r="S8" s="37" t="n">
        <v>810</v>
      </c>
      <c r="T8" s="45">
        <f>SUM(H8:S8)</f>
        <v/>
      </c>
    </row>
    <row r="9" ht="26" customHeight="1">
      <c r="A9" s="35" t="inlineStr">
        <is>
          <t>TI-D02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Backup em Nuvem</t>
        </is>
      </c>
      <c r="E9" s="36" t="inlineStr">
        <is>
          <t>Serviço de backup em nuvem para servidor — RATEIO A DEFINIR</t>
        </is>
      </c>
      <c r="F9" s="35" t="inlineStr"/>
      <c r="G9" s="35" t="inlineStr">
        <is>
          <t>Licenças de Softwares</t>
        </is>
      </c>
      <c r="H9" s="37" t="n">
        <v>825</v>
      </c>
      <c r="I9" s="37" t="n">
        <v>825</v>
      </c>
      <c r="J9" s="37" t="n">
        <v>825</v>
      </c>
      <c r="K9" s="37" t="n">
        <v>825</v>
      </c>
      <c r="L9" s="37" t="n">
        <v>825</v>
      </c>
      <c r="M9" s="37" t="n">
        <v>825</v>
      </c>
      <c r="N9" s="37" t="n">
        <v>825</v>
      </c>
      <c r="O9" s="37" t="n">
        <v>825</v>
      </c>
      <c r="P9" s="37" t="n">
        <v>825</v>
      </c>
      <c r="Q9" s="37" t="n">
        <v>825</v>
      </c>
      <c r="R9" s="37" t="n">
        <v>825</v>
      </c>
      <c r="S9" s="37" t="n">
        <v>825</v>
      </c>
      <c r="T9" s="45">
        <f>SUM(H9:S9)</f>
        <v/>
      </c>
    </row>
    <row r="10" ht="26" customHeight="1">
      <c r="A10" s="35" t="inlineStr">
        <is>
          <t>TI-D03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Inteligência Artificial (Adapta)</t>
        </is>
      </c>
      <c r="E10" s="36" t="inlineStr">
        <is>
          <t>Plataforma de IA para utilização de agentes — RATEIO A DEFINIR</t>
        </is>
      </c>
      <c r="F10" s="35" t="inlineStr"/>
      <c r="G10" s="35" t="inlineStr">
        <is>
          <t>Licenças de Softwares</t>
        </is>
      </c>
      <c r="H10" s="37" t="n">
        <v>1300</v>
      </c>
      <c r="I10" s="37" t="n">
        <v>1300</v>
      </c>
      <c r="J10" s="37" t="n">
        <v>1300</v>
      </c>
      <c r="K10" s="37" t="n">
        <v>1300</v>
      </c>
      <c r="L10" s="37" t="n">
        <v>1300</v>
      </c>
      <c r="M10" s="37" t="n">
        <v>1300</v>
      </c>
      <c r="N10" s="37" t="n">
        <v>1600</v>
      </c>
      <c r="O10" s="37" t="n">
        <v>1600</v>
      </c>
      <c r="P10" s="37" t="n">
        <v>1600</v>
      </c>
      <c r="Q10" s="37" t="n">
        <v>1600</v>
      </c>
      <c r="R10" s="37" t="n">
        <v>1600</v>
      </c>
      <c r="S10" s="37" t="n">
        <v>1600</v>
      </c>
      <c r="T10" s="45">
        <f>SUM(H10:S10)</f>
        <v/>
      </c>
    </row>
    <row r="11" ht="26" customHeight="1">
      <c r="A11" s="35" t="inlineStr">
        <is>
          <t>TI-D04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Antivírus</t>
        </is>
      </c>
      <c r="E11" s="36" t="inlineStr">
        <is>
          <t>Proteção para equipamentos — RATEIO A DEFINIR</t>
        </is>
      </c>
      <c r="F11" s="35" t="inlineStr"/>
      <c r="G11" s="35" t="inlineStr">
        <is>
          <t>Licenças de Softwares</t>
        </is>
      </c>
      <c r="H11" s="37" t="n">
        <v>240</v>
      </c>
      <c r="I11" s="37" t="n">
        <v>240</v>
      </c>
      <c r="J11" s="37" t="n">
        <v>240</v>
      </c>
      <c r="K11" s="37" t="n">
        <v>240</v>
      </c>
      <c r="L11" s="37" t="n">
        <v>240</v>
      </c>
      <c r="M11" s="37" t="n">
        <v>240</v>
      </c>
      <c r="N11" s="37" t="n">
        <v>240</v>
      </c>
      <c r="O11" s="37" t="n">
        <v>240</v>
      </c>
      <c r="P11" s="37" t="n">
        <v>240</v>
      </c>
      <c r="Q11" s="37" t="n">
        <v>240</v>
      </c>
      <c r="R11" s="37" t="n">
        <v>240</v>
      </c>
      <c r="S11" s="37" t="n">
        <v>240</v>
      </c>
      <c r="T11" s="45">
        <f>SUM(H11:S11)</f>
        <v/>
      </c>
    </row>
    <row r="12" ht="26" customHeight="1">
      <c r="A12" s="35" t="inlineStr">
        <is>
          <t>TI-D05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Pacote Office 365</t>
        </is>
      </c>
      <c r="E12" s="36" t="inlineStr">
        <is>
          <t>Licenças de software (conferir nº de licenças x usuários) — RATEIO A DEFINIR</t>
        </is>
      </c>
      <c r="F12" s="35" t="inlineStr"/>
      <c r="G12" s="35" t="inlineStr">
        <is>
          <t>Licenças de Softwares</t>
        </is>
      </c>
      <c r="H12" s="37" t="n">
        <v>375</v>
      </c>
      <c r="I12" s="37" t="n">
        <v>375</v>
      </c>
      <c r="J12" s="37" t="n">
        <v>375</v>
      </c>
      <c r="K12" s="37" t="n">
        <v>375</v>
      </c>
      <c r="L12" s="37" t="n">
        <v>375</v>
      </c>
      <c r="M12" s="37" t="n">
        <v>375</v>
      </c>
      <c r="N12" s="37" t="n">
        <v>375</v>
      </c>
      <c r="O12" s="37" t="n">
        <v>375</v>
      </c>
      <c r="P12" s="37" t="n">
        <v>375</v>
      </c>
      <c r="Q12" s="37" t="n">
        <v>375</v>
      </c>
      <c r="R12" s="37" t="n">
        <v>375</v>
      </c>
      <c r="S12" s="37" t="n">
        <v>375</v>
      </c>
      <c r="T12" s="45">
        <f>SUM(H12:S12)</f>
        <v/>
      </c>
    </row>
    <row r="13" ht="26" customHeight="1">
      <c r="A13" s="35" t="inlineStr">
        <is>
          <t>TI-D06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Projeto Melhoria de Infraestrutura - Sala de Reunião</t>
        </is>
      </c>
      <c r="E13" s="36" t="inlineStr">
        <is>
          <t>Cadeiras, cafeteira, copos, canetas, blocos personalizados, câmeras, microfones etc.</t>
        </is>
      </c>
      <c r="F13" s="35" t="inlineStr"/>
      <c r="G13" s="35" t="inlineStr">
        <is>
          <t>Móveis e Utensílios</t>
        </is>
      </c>
      <c r="H13" s="37" t="n">
        <v>2800</v>
      </c>
      <c r="I13" s="37" t="n">
        <v>2800</v>
      </c>
      <c r="J13" s="37" t="n">
        <v>2800</v>
      </c>
      <c r="K13" s="37" t="n">
        <v>2800</v>
      </c>
      <c r="L13" s="37" t="n">
        <v>2800</v>
      </c>
      <c r="M13" s="37" t="n">
        <v>2800</v>
      </c>
      <c r="N13" s="37" t="n">
        <v>2800</v>
      </c>
      <c r="O13" s="37" t="n">
        <v>2800</v>
      </c>
      <c r="P13" s="37" t="n">
        <v>2800</v>
      </c>
      <c r="Q13" s="37" t="n">
        <v>2800</v>
      </c>
      <c r="R13" s="37" t="n">
        <v>2800</v>
      </c>
      <c r="S13" s="37" t="n">
        <v>2800</v>
      </c>
      <c r="T13" s="45">
        <f>SUM(H13:S13)</f>
        <v/>
      </c>
    </row>
    <row r="14" ht="26" customHeight="1">
      <c r="A14" s="35" t="inlineStr">
        <is>
          <t>TI-D07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Cursos e Treinamentos</t>
        </is>
      </c>
      <c r="E14" s="36" t="inlineStr"/>
      <c r="F14" s="35" t="inlineStr"/>
      <c r="G14" s="35" t="inlineStr">
        <is>
          <t>Custeio de Treinamento</t>
        </is>
      </c>
      <c r="H14" s="37" t="n">
        <v>200</v>
      </c>
      <c r="I14" s="37" t="n">
        <v>200</v>
      </c>
      <c r="J14" s="37" t="n">
        <v>200</v>
      </c>
      <c r="K14" s="37" t="n">
        <v>200</v>
      </c>
      <c r="L14" s="37" t="n">
        <v>200</v>
      </c>
      <c r="M14" s="37" t="n">
        <v>200</v>
      </c>
      <c r="N14" s="37" t="n">
        <v>200</v>
      </c>
      <c r="O14" s="37" t="n">
        <v>200</v>
      </c>
      <c r="P14" s="37" t="n">
        <v>200</v>
      </c>
      <c r="Q14" s="37" t="n">
        <v>200</v>
      </c>
      <c r="R14" s="37" t="n">
        <v>200</v>
      </c>
      <c r="S14" s="37" t="n">
        <v>200</v>
      </c>
      <c r="T14" s="45">
        <f>SUM(H14:S14)</f>
        <v/>
      </c>
    </row>
    <row r="15" ht="26" customHeight="1">
      <c r="A15" s="35" t="inlineStr">
        <is>
          <t>TI-D08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Aplicativo de Gravação de Reunião</t>
        </is>
      </c>
      <c r="E15" s="36" t="inlineStr"/>
      <c r="F15" s="35" t="inlineStr"/>
      <c r="G15" s="35" t="inlineStr">
        <is>
          <t>Licenças de Softwares</t>
        </is>
      </c>
      <c r="H15" s="37" t="n">
        <v>220</v>
      </c>
      <c r="I15" s="37" t="n">
        <v>220</v>
      </c>
      <c r="J15" s="37" t="n">
        <v>220</v>
      </c>
      <c r="K15" s="37" t="n">
        <v>220</v>
      </c>
      <c r="L15" s="37" t="n">
        <v>220</v>
      </c>
      <c r="M15" s="37" t="n">
        <v>220</v>
      </c>
      <c r="N15" s="37" t="n">
        <v>220</v>
      </c>
      <c r="O15" s="37" t="n">
        <v>220</v>
      </c>
      <c r="P15" s="37" t="n">
        <v>220</v>
      </c>
      <c r="Q15" s="37" t="n">
        <v>220</v>
      </c>
      <c r="R15" s="37" t="n">
        <v>220</v>
      </c>
      <c r="S15" s="37" t="n">
        <v>220</v>
      </c>
      <c r="T15" s="45">
        <f>SUM(H15:S15)</f>
        <v/>
      </c>
    </row>
    <row r="16" ht="26" customHeight="1">
      <c r="A16" s="35" t="inlineStr">
        <is>
          <t>TI-D10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Claude</t>
        </is>
      </c>
      <c r="E16" s="36" t="inlineStr">
        <is>
          <t>Ferramenta de IA — não constava na ficha. Planejado a definir com a diretoria</t>
        </is>
      </c>
      <c r="F16" s="35" t="inlineStr"/>
      <c r="G16" s="35" t="inlineStr">
        <is>
          <t>Licenças de Softwares</t>
        </is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45">
        <f>SUM(H16:S16)</f>
        <v/>
      </c>
    </row>
    <row r="17" ht="26" customHeight="1">
      <c r="A17" s="35" t="inlineStr">
        <is>
          <t>TI-D11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GPT</t>
        </is>
      </c>
      <c r="E17" s="36" t="inlineStr">
        <is>
          <t>Ferramenta de IA — não constava na ficha. Planejado a definir com a diretoria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TI-D12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Adapta One</t>
        </is>
      </c>
      <c r="E18" s="36" t="inlineStr">
        <is>
          <t>Ferramenta de IA — não constava na ficha. Planejado a definir com a diretoria. CONFERIR sobreposição com a linha 'Inteligência Artificial (Adapta)'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TI-D13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Skip</t>
        </is>
      </c>
      <c r="E19" s="36" t="inlineStr">
        <is>
          <t>Ferramenta de IA — não constava na ficha. Planejado a definir com a diretoria. CONFERIR o nome exato do produto e a sobreposição com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TI-D09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Bonificação do time</t>
        </is>
      </c>
      <c r="E20" s="36" t="inlineStr">
        <is>
          <t>Cumprimento de prazos e participação em projetos — CONFIRMAR se houve parcela no 1º quadrimestre</t>
        </is>
      </c>
      <c r="F20" s="35" t="inlineStr"/>
      <c r="G20" s="35" t="inlineStr">
        <is>
          <t>Prêmios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2400</v>
      </c>
      <c r="P20" s="37" t="n">
        <v>0</v>
      </c>
      <c r="Q20" s="37" t="n">
        <v>0</v>
      </c>
      <c r="R20" s="37" t="n">
        <v>0</v>
      </c>
      <c r="S20" s="37" t="n">
        <v>3600</v>
      </c>
      <c r="T20" s="45">
        <f>SUM(H20:S20)</f>
        <v/>
      </c>
    </row>
    <row r="21">
      <c r="A21" s="42" t="inlineStr">
        <is>
          <t>TOTAL GERAL</t>
        </is>
      </c>
      <c r="B21" s="42" t="n"/>
      <c r="C21" s="42" t="n"/>
      <c r="D21" s="42" t="n"/>
      <c r="E21" s="42" t="n"/>
      <c r="F21" s="42" t="n"/>
      <c r="G21" s="42" t="n"/>
      <c r="H21" s="43">
        <f>SUM(H5:H20)</f>
        <v/>
      </c>
      <c r="I21" s="43">
        <f>SUM(I5:I20)</f>
        <v/>
      </c>
      <c r="J21" s="43">
        <f>SUM(J5:J20)</f>
        <v/>
      </c>
      <c r="K21" s="43">
        <f>SUM(K5:K20)</f>
        <v/>
      </c>
      <c r="L21" s="43">
        <f>SUM(L5:L20)</f>
        <v/>
      </c>
      <c r="M21" s="43">
        <f>SUM(M5:M20)</f>
        <v/>
      </c>
      <c r="N21" s="43">
        <f>SUM(N5:N20)</f>
        <v/>
      </c>
      <c r="O21" s="43">
        <f>SUM(O5:O20)</f>
        <v/>
      </c>
      <c r="P21" s="43">
        <f>SUM(P5:P20)</f>
        <v/>
      </c>
      <c r="Q21" s="43">
        <f>SUM(Q5:Q20)</f>
        <v/>
      </c>
      <c r="R21" s="43">
        <f>SUM(R5:R20)</f>
        <v/>
      </c>
      <c r="S21" s="43">
        <f>SUM(S5:S20)</f>
        <v/>
      </c>
      <c r="T21" s="43">
        <f>SUM(T5:T20)</f>
        <v/>
      </c>
    </row>
  </sheetData>
  <autoFilter ref="A4:T2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6300</v>
      </c>
      <c r="L7" s="49" t="n">
        <v>6300</v>
      </c>
      <c r="M7" s="49" t="n">
        <v>6300</v>
      </c>
      <c r="N7" s="49" t="n">
        <v>6300</v>
      </c>
      <c r="O7" s="49" t="n"/>
      <c r="T7" s="45">
        <f>SUM(H7:S7)</f>
        <v/>
      </c>
      <c r="U7" s="50" t="inlineStr">
        <is>
          <t>Gestora, 05/08/26</t>
        </is>
      </c>
      <c r="V7" s="50" t="inlineStr">
        <is>
          <t>Entrada em abr/26. R$ 3.700/mês abaixo do contratado — confirmar escopo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/>
      <c r="I8" s="49" t="n"/>
      <c r="J8" s="49" t="n"/>
      <c r="K8" s="49" t="n"/>
      <c r="L8" s="49" t="n"/>
      <c r="M8" s="49" t="n"/>
      <c r="N8" s="49" t="n"/>
      <c r="O8" s="49" t="n"/>
      <c r="T8" s="45">
        <f>SUM(H8:S8)</f>
        <v/>
      </c>
      <c r="U8" s="50" t="n"/>
      <c r="V8" s="50" t="n"/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T20" s="45">
        <f>SUM(H20:S20)</f>
        <v/>
      </c>
      <c r="U20" s="50" t="n"/>
      <c r="V20" s="50" t="n"/>
    </row>
    <row r="21">
      <c r="A21" s="51" t="inlineStr">
        <is>
          <t>TOTAL GERAL</t>
        </is>
      </c>
      <c r="B21" s="51" t="n"/>
      <c r="C21" s="51" t="n"/>
      <c r="D21" s="51" t="n"/>
      <c r="E21" s="51" t="n"/>
      <c r="F21" s="51" t="n"/>
      <c r="G21" s="51" t="n"/>
      <c r="H21" s="52">
        <f>SUM(H5:H20)</f>
        <v/>
      </c>
      <c r="I21" s="52">
        <f>SUM(I5:I20)</f>
        <v/>
      </c>
      <c r="J21" s="52">
        <f>SUM(J5:J20)</f>
        <v/>
      </c>
      <c r="K21" s="52">
        <f>SUM(K5:K20)</f>
        <v/>
      </c>
      <c r="L21" s="52">
        <f>SUM(L5:L20)</f>
        <v/>
      </c>
      <c r="M21" s="52">
        <f>SUM(M5:M20)</f>
        <v/>
      </c>
      <c r="N21" s="52">
        <f>SUM(N5:N20)</f>
        <v/>
      </c>
      <c r="O21" s="52">
        <f>SUM(O5:O20)</f>
        <v/>
      </c>
      <c r="P21" s="52">
        <f>SUM(P5:P20)</f>
        <v/>
      </c>
      <c r="Q21" s="52">
        <f>SUM(Q5:Q20)</f>
        <v/>
      </c>
      <c r="R21" s="52">
        <f>SUM(R5:R20)</f>
        <v/>
      </c>
      <c r="S21" s="52">
        <f>SUM(S5:S20)</f>
        <v/>
      </c>
      <c r="T21" s="52">
        <f>SUM(T5:T20)</f>
        <v/>
      </c>
      <c r="U21" s="51" t="n"/>
      <c r="V21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SUMIFS(Planejado!$H$5:$H$20,Planejado!$B$5:$B$20,"TI")</f>
        <v/>
      </c>
      <c r="C5" s="54">
        <f>SUMIFS(Realizado!$H$5:$H$20,Realizado!$B$5:$B$20,"TI")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SUMIFS(Planejado!$I$5:$I$20,Planejado!$B$5:$B$20,"TI")</f>
        <v/>
      </c>
      <c r="C6" s="37">
        <f>SUMIFS(Realizado!$I$5:$I$20,Realizado!$B$5:$B$20,"TI")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SUMIFS(Planejado!$J$5:$J$20,Planejado!$B$5:$B$20,"TI")</f>
        <v/>
      </c>
      <c r="C7" s="54">
        <f>SUMIFS(Realizado!$J$5:$J$20,Realizado!$B$5:$B$20,"TI")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SUMIFS(Planejado!$K$5:$K$20,Planejado!$B$5:$B$20,"TI")</f>
        <v/>
      </c>
      <c r="C8" s="37">
        <f>SUMIFS(Realizado!$K$5:$K$20,Realizado!$B$5:$B$20,"TI")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SUMIFS(Planejado!$L$5:$L$20,Planejado!$B$5:$B$20,"TI")</f>
        <v/>
      </c>
      <c r="C9" s="54">
        <f>SUMIFS(Realizado!$L$5:$L$20,Realizado!$B$5:$B$20,"TI")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SUMIFS(Planejado!$M$5:$M$20,Planejado!$B$5:$B$20,"TI")</f>
        <v/>
      </c>
      <c r="C10" s="37">
        <f>SUMIFS(Realizado!$M$5:$M$20,Realizado!$B$5:$B$20,"TI")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SUMIFS(Planejado!$N$5:$N$20,Planejado!$B$5:$B$20,"TI")</f>
        <v/>
      </c>
      <c r="C11" s="54">
        <f>SUMIFS(Realizado!$N$5:$N$20,Realizado!$B$5:$B$20,"TI")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SUMIFS(Planejado!$O$5:$O$20,Planejado!$B$5:$B$20,"TI")</f>
        <v/>
      </c>
      <c r="C12" s="37">
        <f>SUMIFS(Realizado!$O$5:$O$20,Realizado!$B$5:$B$20,"TI")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SUMIFS(Planejado!$P$5:$P$20,Planejado!$B$5:$B$20,"TI")</f>
        <v/>
      </c>
      <c r="C13" s="54">
        <f>SUMIFS(Realizado!$P$5:$P$20,Realizado!$B$5:$B$20,"TI")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SUMIFS(Planejado!$Q$5:$Q$20,Planejado!$B$5:$B$20,"TI")</f>
        <v/>
      </c>
      <c r="C14" s="37">
        <f>SUMIFS(Realizado!$Q$5:$Q$20,Realizado!$B$5:$B$20,"TI")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SUMIFS(Planejado!$R$5:$R$20,Planejado!$B$5:$B$20,"TI")</f>
        <v/>
      </c>
      <c r="C15" s="54">
        <f>SUMIFS(Realizado!$R$5:$R$20,Realizado!$B$5:$B$20,"TI")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SUMIFS(Planejado!$S$5:$S$20,Planejado!$B$5:$B$20,"TI")</f>
        <v/>
      </c>
      <c r="C16" s="37">
        <f>SUMIFS(Realizado!$S$5:$S$20,Realizado!$B$5:$B$20,"TI")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SUMIFS(Comparativo!$I$6:$I$21,Comparativo!$E$6:$E$21,$A5,Comparativo!$B$6:$B$21,"TI")</f>
        <v/>
      </c>
      <c r="C5" s="54">
        <f>SUMIFS(Comparativo!$J$6:$J$21,Comparativo!$E$6:$E$21,$A5,Comparativo!$B$6:$B$21,"TI")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SUMIFS(Planejado!$T$5:$T$20,Planejado!$G$5:$G$20,$A5)</f>
        <v/>
      </c>
    </row>
    <row r="6" ht="20" customHeight="1">
      <c r="A6" s="58" t="inlineStr">
        <is>
          <t>Pessoal - PJ</t>
        </is>
      </c>
      <c r="B6" s="37">
        <f>SUMIFS(Comparativo!$I$6:$I$21,Comparativo!$E$6:$E$21,$A6,Comparativo!$B$6:$B$21,"TI")</f>
        <v/>
      </c>
      <c r="C6" s="37">
        <f>SUMIFS(Comparativo!$J$6:$J$21,Comparativo!$E$6:$E$21,$A6,Comparativo!$B$6:$B$21,"TI")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SUMIFS(Planejado!$T$5:$T$20,Planejado!$G$5:$G$20,$A6)</f>
        <v/>
      </c>
    </row>
    <row r="7" ht="20" customHeight="1">
      <c r="A7" s="56" t="inlineStr">
        <is>
          <t>Licenças de Softwares</t>
        </is>
      </c>
      <c r="B7" s="54">
        <f>SUMIFS(Comparativo!$I$6:$I$21,Comparativo!$E$6:$E$21,$A7,Comparativo!$B$6:$B$21,"TI")</f>
        <v/>
      </c>
      <c r="C7" s="54">
        <f>SUMIFS(Comparativo!$J$6:$J$21,Comparativo!$E$6:$E$21,$A7,Comparativo!$B$6:$B$21,"TI")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SUMIFS(Planejado!$T$5:$T$20,Planejado!$G$5:$G$20,$A7)</f>
        <v/>
      </c>
    </row>
    <row r="8" ht="20" customHeight="1">
      <c r="A8" s="58" t="inlineStr">
        <is>
          <t>Custeio de Treinamento</t>
        </is>
      </c>
      <c r="B8" s="37">
        <f>SUMIFS(Comparativo!$I$6:$I$21,Comparativo!$E$6:$E$21,$A8,Comparativo!$B$6:$B$21,"TI")</f>
        <v/>
      </c>
      <c r="C8" s="37">
        <f>SUMIFS(Comparativo!$J$6:$J$21,Comparativo!$E$6:$E$21,$A8,Comparativo!$B$6:$B$21,"TI")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SUMIFS(Planejado!$T$5:$T$20,Planejado!$G$5:$G$20,$A8)</f>
        <v/>
      </c>
    </row>
    <row r="9" ht="20" customHeight="1">
      <c r="A9" s="56" t="inlineStr">
        <is>
          <t>Prêmios</t>
        </is>
      </c>
      <c r="B9" s="54">
        <f>SUMIFS(Comparativo!$I$6:$I$21,Comparativo!$E$6:$E$21,$A9,Comparativo!$B$6:$B$21,"TI")</f>
        <v/>
      </c>
      <c r="C9" s="54">
        <f>SUMIFS(Comparativo!$J$6:$J$21,Comparativo!$E$6:$E$21,$A9,Comparativo!$B$6:$B$21,"TI")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SUMIFS(Planejado!$T$5:$T$20,Planejado!$G$5:$G$20,$A9)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SUMIFS(Comparativo!$I$6:$I$21,Comparativo!$E$6:$E$21,$A10,Comparativo!$B$6:$B$21,"TI")</f>
        <v/>
      </c>
      <c r="C10" s="37">
        <f>SUMIFS(Comparativo!$J$6:$J$21,Comparativo!$E$6:$E$21,$A10,Comparativo!$B$6:$B$21,"TI")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SUMIFS(Planejado!$T$5:$T$20,Planejado!$G$5:$G$20,$A10)</f>
        <v/>
      </c>
    </row>
    <row r="11" ht="20" customHeight="1">
      <c r="A11" s="56" t="inlineStr">
        <is>
          <t>Móveis e Utensílios</t>
        </is>
      </c>
      <c r="B11" s="54">
        <f>SUMIFS(Comparativo!$I$6:$I$21,Comparativo!$E$6:$E$21,$A11,Comparativo!$B$6:$B$21,"TI")</f>
        <v/>
      </c>
      <c r="C11" s="54">
        <f>SUMIFS(Comparativo!$J$6:$J$21,Comparativo!$E$6:$E$21,$A11,Comparativo!$B$6:$B$21,"TI")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SUMIFS(Planejado!$T$5:$T$20,Planejado!$G$5:$G$20,$A11)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R$ 3.700/mês abaixo do contratado</t>
        </is>
      </c>
      <c r="C6" s="65" t="inlineStr">
        <is>
          <t>Orçado R$ 10.000/mês, realizado R$ 6.300/mês em mai, jun e jul.</t>
        </is>
      </c>
      <c r="D6" s="65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6" s="65" t="inlineStr">
        <is>
          <t>Cristiane</t>
        </is>
      </c>
      <c r="F6" s="66" t="inlineStr">
        <is>
          <t>EM ABERTO</t>
        </is>
      </c>
    </row>
    <row r="7" ht="58" customHeight="1">
      <c r="A7" s="61" t="inlineStr">
        <is>
          <t>G</t>
        </is>
      </c>
      <c r="B7" s="62" t="inlineStr">
        <is>
          <t>Elias Benedito zerado nos três meses</t>
        </is>
      </c>
      <c r="C7" s="62" t="inlineStr">
        <is>
          <t>Orçado R$ 1.065/mês como suporte técnico terceirizado, realizado R$ 0 em mai, jun e jul.</t>
        </is>
      </c>
      <c r="D7" s="62" t="inlineStr">
        <is>
          <t>Confirmar se o contrato segue ativo (acionamento sob demanda) ou se foi encerrado. Se encerrado, são R$ 12.780 a liberar no orçamento do ano.</t>
        </is>
      </c>
      <c r="E7" s="62" t="inlineStr">
        <is>
          <t>Cristiane</t>
        </is>
      </c>
      <c r="F7" s="66" t="inlineStr">
        <is>
          <t>EM ABERTO</t>
        </is>
      </c>
    </row>
    <row r="8" ht="58" customHeight="1">
      <c r="A8" s="64" t="inlineStr">
        <is>
          <t>H</t>
        </is>
      </c>
      <c r="B8" s="65" t="inlineStr">
        <is>
          <t>Planejado de jan a abr — CONFERIR</t>
        </is>
      </c>
      <c r="C8" s="65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65" t="inlineStr">
        <is>
          <t>Se algum contrato tinha valor diferente no 1º quadrimestre, ou se houve bonificação nesse período, o planejado de jan a abr precisa ser corrigido antes de comparar com o realizado.</t>
        </is>
      </c>
      <c r="E8" s="65" t="inlineStr">
        <is>
          <t>Cristiane</t>
        </is>
      </c>
      <c r="F8" s="67" t="inlineStr">
        <is>
          <t>CONFERIR</t>
        </is>
      </c>
    </row>
    <row r="9" ht="58" customHeight="1">
      <c r="A9" s="61" t="inlineStr">
        <is>
          <t>I</t>
        </is>
      </c>
      <c r="B9" s="62" t="inlineStr">
        <is>
          <t>Realizado de jan a abr — A LANÇAR</t>
        </is>
      </c>
      <c r="C9" s="62" t="inlineStr">
        <is>
          <t>As colunas de jan a abr estão em branco na aba Realizado. Só mai, jun e jul foram informados.</t>
        </is>
      </c>
      <c r="D9" s="62" t="inlineStr">
        <is>
          <t>São 4 dos 7 meses já fechados do ano. Sem eles o acumulado e o Painel refletem menos da metade do período decorrido.</t>
        </is>
      </c>
      <c r="E9" s="62" t="inlineStr">
        <is>
          <t>Cristiane</t>
        </is>
      </c>
      <c r="F9" s="63" t="inlineStr">
        <is>
          <t>A LANÇAR</t>
        </is>
      </c>
    </row>
    <row r="10" ht="58" customHeight="1">
      <c r="A10" s="64" t="inlineStr">
        <is>
          <t>J</t>
        </is>
      </c>
      <c r="B10" s="65" t="inlineStr">
        <is>
          <t>Despesas do TI — A LANÇAR</t>
        </is>
      </c>
      <c r="C10" s="65" t="inlineStr">
        <is>
          <t>As 9 linhas de despesas do TI (peças, backup, Adapta, antivírus, Office, sala de reunião, cursos, app de gravação e bonificação) não têm lançamento em nenhum mês.</t>
        </is>
      </c>
      <c r="D10" s="65" t="inlineStr">
        <is>
          <t>São R$ 89.040 orçados no ano, 35% do orçamento do TI. Sem lançamento, o departamento aparece com desvio negativo que é ausência de dado.</t>
        </is>
      </c>
      <c r="E10" s="65" t="inlineStr">
        <is>
          <t>Cristiane</t>
        </is>
      </c>
      <c r="F10" s="63" t="inlineStr">
        <is>
          <t>A LANÇAR</t>
        </is>
      </c>
    </row>
    <row r="11" ht="58" customHeight="1">
      <c r="A11" s="61" t="inlineStr">
        <is>
          <t>1</t>
        </is>
      </c>
      <c r="B11" s="62" t="inlineStr">
        <is>
          <t>Base de meses — reconciliada com a ficha original</t>
        </is>
      </c>
      <c r="C11" s="62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1" s="62" t="inlineStr">
        <is>
          <t>Equipe de TI no valor original de R$ 167.778,30. Jonathan lançado com entrada em abr/26 (9 meses), que é o que explica os R$ 90.000.</t>
        </is>
      </c>
      <c r="E11" s="62" t="inlineStr">
        <is>
          <t>Cristiane</t>
        </is>
      </c>
      <c r="F11" s="68" t="inlineStr">
        <is>
          <t>RESOLVIDO</t>
        </is>
      </c>
    </row>
    <row r="12" ht="58" customHeight="1">
      <c r="A12" s="64" t="inlineStr">
        <is>
          <t>2</t>
        </is>
      </c>
      <c r="B12" s="65" t="inlineStr">
        <is>
          <t>Origem do valor realizado</t>
        </is>
      </c>
      <c r="C12" s="65" t="inlineStr">
        <is>
          <t>Ainda não definido se o realizado virá de lançamento manual, de relatório do financeiro/ERP por centro de custo, ou misto. Até aqui os números vieram informados pela gestora.</t>
        </is>
      </c>
      <c r="D12" s="65" t="inlineStr">
        <is>
          <t>Sem fonte definida o realizado pode divergir da contabilidade e o comparativo perde valor na apresentação à diretoria.</t>
        </is>
      </c>
      <c r="E12" s="65" t="inlineStr">
        <is>
          <t>Cristiane + Financeiro</t>
        </is>
      </c>
      <c r="F12" s="66" t="inlineStr">
        <is>
          <t>EM ABERTO</t>
        </is>
      </c>
    </row>
    <row r="13" ht="58" customHeight="1">
      <c r="A13" s="61" t="inlineStr">
        <is>
          <t>L</t>
        </is>
      </c>
      <c r="B13" s="62" t="inlineStr">
        <is>
          <t>Ferramentas de IA sem orçamento — DEFINIR META</t>
        </is>
      </c>
      <c r="C13" s="62" t="inlineStr">
        <is>
          <t>Claude, GPT, Adapta One e Adapta Skip são gastos que existem hoje e não constavam na ficha. Foram criadas quatro linhas separadas, com planejado zerado, para a meta ser definida junto com a diretoria.</t>
        </is>
      </c>
      <c r="D13" s="62" t="inlineStr">
        <is>
          <t>Enquanto o planejado for zero, qualquer lançamento nessas linhas aparece como 'Não orçado'. Conferir também se há sobreposição com a linha 'Inteligência Artificial (Adapta)', já orçada em R$ 17.400/ano — pode ser que ela já cubra o Adapta One e o Adapta Skip. E confirmar o nome exato do 'Adapta Skip'.</t>
        </is>
      </c>
      <c r="E13" s="62" t="inlineStr">
        <is>
          <t>Cristiane + Diretoria</t>
        </is>
      </c>
      <c r="F13" s="69" t="inlineStr">
        <is>
          <t>PAUTA REUNIÃO</t>
        </is>
      </c>
    </row>
    <row r="14" ht="58" customHeight="1">
      <c r="A14" s="64" t="inlineStr">
        <is>
          <t>4</t>
        </is>
      </c>
      <c r="B14" s="65" t="inlineStr">
        <is>
          <t>Rateio dos softwares corporativos de TI</t>
        </is>
      </c>
      <c r="C14" s="65" t="inlineStr">
        <is>
          <t>Backup (R$ 9.900), Adapta/IA (R$ 17.400), Antivírus (R$ 2.880) e Office 365 (R$ 4.500) estão marcados na ficha como 'não sei se seria administrativo'. Total no ano: R$ 34.680.</t>
        </is>
      </c>
      <c r="D14" s="65" t="inlineStr">
        <is>
          <t>São 39% das despesas do TI. Se são da empresa toda e ficam no centro de custo de TI, o departamento carrega despesa que não é dele e aparece caro.</t>
        </is>
      </c>
      <c r="E14" s="65" t="inlineStr">
        <is>
          <t>Cristiane + Controladoria</t>
        </is>
      </c>
      <c r="F14" s="66" t="inlineStr">
        <is>
          <t>EM ABERTO</t>
        </is>
      </c>
    </row>
    <row r="15" ht="58" customHeight="1">
      <c r="A15" s="61" t="inlineStr">
        <is>
          <t>5</t>
        </is>
      </c>
      <c r="B15" s="62" t="inlineStr">
        <is>
          <t>Sala de Reunião — recorrente ou pontual?</t>
        </is>
      </c>
      <c r="C15" s="62" t="inlineStr">
        <is>
          <t>R$ 2.800/mês × 12 = R$ 33.600 diluídos linearmente, classificados em Móveis e Utensílios.</t>
        </is>
      </c>
      <c r="D15" s="62" t="inlineStr">
        <is>
          <t>Se for compra pontual (CAPEX), o desvio mensal vai acusar alarme falso todo mês até a compra acontecer, e um pico no mês da compra.</t>
        </is>
      </c>
      <c r="E15" s="62" t="inlineStr">
        <is>
          <t>Cristiane</t>
        </is>
      </c>
      <c r="F15" s="66" t="inlineStr">
        <is>
          <t>EM ABERTO</t>
        </is>
      </c>
    </row>
    <row r="16" ht="58" customHeight="1">
      <c r="A16" s="64" t="inlineStr">
        <is>
          <t>6</t>
        </is>
      </c>
      <c r="B16" s="65" t="inlineStr">
        <is>
          <t>Office 365 — nº de licenças</t>
        </is>
      </c>
      <c r="C16" s="65" t="inlineStr">
        <is>
          <t>A observação diz '10 licenças de software – 60 usuários'. Os dois números não fecham entre si.</t>
        </is>
      </c>
      <c r="D16" s="65" t="inlineStr">
        <is>
          <t>Afeta o valor orçado da linha e a projeção de crescimento.</t>
        </is>
      </c>
      <c r="E16" s="65" t="inlineStr">
        <is>
          <t>Cristiane</t>
        </is>
      </c>
      <c r="F16" s="66" t="inlineStr">
        <is>
          <t>EM ABERTO</t>
        </is>
      </c>
    </row>
    <row r="17" ht="58" customHeight="1">
      <c r="A17" s="61" t="inlineStr">
        <is>
          <t>7</t>
        </is>
      </c>
      <c r="B17" s="62" t="inlineStr">
        <is>
          <t>Competência x caixa — DEFASAGEM CONFIRMADA</t>
        </is>
      </c>
      <c r="C17" s="62" t="inlineStr">
        <is>
          <t>O pagamento do Miguel de 01/08/26 refere-se a julho, então há pelo menos um prestador cujo pagamento cai no mês seguinte ao da prestação. Todo o realizado está lançado por CAIXA (mês em que o pagamento saiu), que é como os valores foram informados.</t>
        </is>
      </c>
      <c r="D17" s="62" t="inlineStr">
        <is>
          <t>Consequência: o valor lançado em jan/26 pode ser referente a dez/2025, e o serviço de dez/26 só aparecerá em jan/2027 — o ano fecha com 12 pagamentos, mas defasados em relação ao orçamento, que é de competência. Vale conferir quais contratos pagam no mês seguinte e decidir se o comparativo passa para competência.</t>
        </is>
      </c>
      <c r="E17" s="62" t="inlineStr">
        <is>
          <t>Cristiane + Financeiro</t>
        </is>
      </c>
      <c r="F17" s="67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70" t="inlineStr">
        <is>
          <t>2</t>
        </is>
      </c>
      <c r="B6" s="71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COMO LER OS NÚMEROS</t>
        </is>
      </c>
    </row>
    <row r="12" ht="34" customHeight="1">
      <c r="A12" s="70" t="inlineStr">
        <is>
          <t>Desvio positivo (vermelho)</t>
        </is>
      </c>
      <c r="B12" s="71" t="inlineStr">
        <is>
          <t>Gastou ACIMA do orçado.</t>
        </is>
      </c>
    </row>
    <row r="13" ht="34" customHeight="1">
      <c r="A13" s="70" t="inlineStr">
        <is>
          <t>Desvio negativo (verde)</t>
        </is>
      </c>
      <c r="B13" s="71" t="inlineStr">
        <is>
          <t>Gastou ABAIXO do orçado — economia ou despesa ainda não realizada.</t>
        </is>
      </c>
    </row>
    <row r="14" ht="34" customHeight="1">
      <c r="A14" s="70" t="inlineStr">
        <is>
          <t>Planejado acum.</t>
        </is>
      </c>
      <c r="B14" s="71" t="inlineStr">
        <is>
          <t>Soma de maio até o mês selecionado.</t>
        </is>
      </c>
    </row>
    <row r="15" ht="34" customHeight="1">
      <c r="A15" s="70" t="inlineStr">
        <is>
          <t>% Executado</t>
        </is>
      </c>
      <c r="B15" s="71" t="inlineStr">
        <is>
          <t>Realizado acumulado ÷ Planejado acumulado. Perto de 100% = no ritmo.</t>
        </is>
      </c>
    </row>
    <row r="16" ht="34" customHeight="1">
      <c r="A16" s="70" t="inlineStr">
        <is>
          <t>Sem lançamento</t>
        </is>
      </c>
      <c r="B16" s="71" t="inlineStr">
        <is>
          <t>Nada foi lançado no realizado ainda — não confunda com economia.</t>
        </is>
      </c>
    </row>
    <row r="17" ht="8" customHeight="1"/>
    <row r="18" ht="22" customHeight="1">
      <c r="A18" s="30" t="inlineStr">
        <is>
          <t>REGRAS DA PLANILHA</t>
        </is>
      </c>
    </row>
    <row r="19" ht="34" customHeight="1">
      <c r="A19" s="70" t="inlineStr">
        <is>
          <t>Não altere</t>
        </is>
      </c>
      <c r="B19" s="71" t="inlineStr">
        <is>
          <t>As colunas de identificação da aba Realizado (A a G) são fórmulas que espelham a aba Planejado. Alterar quebra o comparativo.</t>
        </is>
      </c>
    </row>
    <row r="20" ht="34" customHeight="1">
      <c r="A20" s="70" t="inlineStr">
        <is>
          <t>Nova linha de orçamento</t>
        </is>
      </c>
      <c r="B20" s="71" t="inlineStr">
        <is>
          <t>Insira na aba Planejado e replique a mesma linha na aba Realizado e na aba Comparativo, mantendo o mesmo ID.</t>
        </is>
      </c>
    </row>
    <row r="21" ht="34" customHeight="1">
      <c r="A21" s="70" t="inlineStr">
        <is>
          <t>Revisão de orçamento</t>
        </is>
      </c>
      <c r="B21" s="71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2026-08-06T12:37:09Z</dcterms:created>
  <dcterms:modified xsi:type="dcterms:W3CDTF">2026-08-06T12:37:09Z</dcterms:modified>
</cp:coreProperties>
</file>