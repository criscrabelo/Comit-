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el" sheetId="1" state="visible" r:id="rId1"/>
    <sheet name="Comparativo" sheetId="2" state="visible" r:id="rId2"/>
    <sheet name="Planejado" sheetId="3" state="visible" r:id="rId3"/>
    <sheet name="Realizado" sheetId="4" state="visible" r:id="rId4"/>
    <sheet name="Evolução Mensal" sheetId="5" state="visible" r:id="rId5"/>
    <sheet name="Por Plano de Contas" sheetId="6" state="visible" r:id="rId6"/>
    <sheet name="Pendências" sheetId="7" state="visible" r:id="rId7"/>
    <sheet name="Como usar" sheetId="8" state="visible" r:id="rId8"/>
    <sheet name="Papéis e Responsabilidades" sheetId="9" state="visible" r:id="rId9"/>
    <sheet name="Controle de Equipamentos" sheetId="10" state="visible" r:id="rId10"/>
    <sheet name="Contas Pagas (resumo)" sheetId="11" state="visible" r:id="rId11"/>
    <sheet name="Contas Pagas (detalhe)" sheetId="12" state="visible" r:id="rId12"/>
  </sheets>
  <definedNames>
    <definedName name="_xlnm._FilterDatabase" localSheetId="1" hidden="1">'Comparativo'!$A$5:$N$23</definedName>
    <definedName name="_xlnm._FilterDatabase" localSheetId="2" hidden="1">'Planejado'!$A$4:$T$22</definedName>
    <definedName name="_xlnm._FilterDatabase" localSheetId="9" hidden="1">'Controle de Equipamentos'!$A$12:$J$52</definedName>
    <definedName name="_xlnm._FilterDatabase" localSheetId="10" hidden="1">'Contas Pagas (resumo)'!$A$4:$L$17</definedName>
    <definedName name="_xlnm._FilterDatabase" localSheetId="11" hidden="1">'Contas Pagas (detalhe)'!$A$4:$H$104</definedName>
  </definedNames>
  <calcPr calcId="124519" fullCalcOnLoad="1"/>
</workbook>
</file>

<file path=xl/styles.xml><?xml version="1.0" encoding="utf-8"?>
<styleSheet xmlns="http://schemas.openxmlformats.org/spreadsheetml/2006/main">
  <numFmts count="2">
    <numFmt numFmtId="164" formatCode="R$ #,##0.00"/>
    <numFmt numFmtId="165" formatCode="0.0%"/>
  </numFmts>
  <fonts count="26">
    <font>
      <name val="Calibri"/>
      <family val="2"/>
      <color theme="1"/>
      <sz val="11"/>
      <scheme val="minor"/>
    </font>
    <font>
      <b val="1"/>
      <color rgb="00FFFFFF"/>
      <sz val="15"/>
    </font>
    <font>
      <i val="1"/>
      <color rgb="00595959"/>
      <sz val="9"/>
    </font>
    <font>
      <b val="1"/>
      <color rgb="00FFFFFF"/>
      <sz val="9"/>
    </font>
    <font>
      <sz val="9"/>
    </font>
    <font>
      <b val="1"/>
      <sz val="9"/>
    </font>
    <font>
      <b val="1"/>
      <color rgb="00FFFFFF"/>
      <sz val="10"/>
    </font>
    <font>
      <color rgb="00595959"/>
      <sz val="9"/>
    </font>
    <font>
      <sz val="8"/>
    </font>
    <font>
      <b val="1"/>
      <sz val="10"/>
    </font>
    <font>
      <b val="1"/>
      <color rgb="001F3864"/>
      <sz val="11"/>
    </font>
    <font>
      <color rgb="00808080"/>
      <sz val="9"/>
    </font>
    <font>
      <color rgb="00BFBFBF"/>
      <sz val="8"/>
    </font>
    <font>
      <i val="1"/>
      <color rgb="00808080"/>
      <sz val="9"/>
    </font>
    <font>
      <color rgb="00000000"/>
      <sz val="10"/>
    </font>
    <font>
      <b val="1"/>
      <color rgb="00000000"/>
      <sz val="10"/>
    </font>
    <font>
      <b val="1"/>
      <color rgb="00FFFFFF"/>
      <sz val="12"/>
    </font>
    <font>
      <b val="1"/>
      <color rgb="00000000"/>
      <sz val="11"/>
    </font>
    <font>
      <b val="1"/>
      <sz val="12"/>
    </font>
    <font>
      <b val="1"/>
      <color rgb="001E6B3A"/>
      <sz val="14"/>
    </font>
    <font>
      <i val="1"/>
      <color rgb="009C0006"/>
      <sz val="9"/>
    </font>
    <font>
      <b val="1"/>
      <color rgb="00FFFFFF"/>
      <sz val="11"/>
    </font>
    <font>
      <b val="1"/>
      <color rgb="001E6B3A"/>
      <sz val="9"/>
    </font>
    <font>
      <b val="1"/>
      <color rgb="001F3864"/>
      <sz val="9"/>
    </font>
    <font>
      <b val="1"/>
      <color rgb="009C0006"/>
      <sz val="8"/>
    </font>
    <font>
      <sz val="10"/>
    </font>
  </fonts>
  <fills count="16">
    <fill>
      <patternFill/>
    </fill>
    <fill>
      <patternFill patternType="gray125"/>
    </fill>
    <fill>
      <patternFill patternType="solid">
        <fgColor rgb="001F3864"/>
      </patternFill>
    </fill>
    <fill>
      <patternFill patternType="solid">
        <fgColor rgb="002E5395"/>
      </patternFill>
    </fill>
    <fill>
      <patternFill patternType="solid">
        <fgColor rgb="00F2F2F2"/>
      </patternFill>
    </fill>
    <fill>
      <patternFill patternType="solid">
        <fgColor rgb="00D9E1F2"/>
      </patternFill>
    </fill>
    <fill>
      <patternFill patternType="solid">
        <fgColor rgb="007B3F00"/>
      </patternFill>
    </fill>
    <fill>
      <patternFill patternType="solid">
        <fgColor rgb="00FFF7DC"/>
      </patternFill>
    </fill>
    <fill>
      <patternFill patternType="solid">
        <fgColor rgb="00FFFFFF"/>
      </patternFill>
    </fill>
    <fill>
      <patternFill patternType="solid">
        <fgColor rgb="001E6B3A"/>
      </patternFill>
    </fill>
    <fill>
      <patternFill patternType="solid">
        <fgColor rgb="00E2EFDA"/>
      </patternFill>
    </fill>
    <fill>
      <patternFill patternType="solid">
        <fgColor rgb="00F8CBAD"/>
      </patternFill>
    </fill>
    <fill>
      <patternFill patternType="solid">
        <fgColor rgb="00FFE699"/>
      </patternFill>
    </fill>
    <fill>
      <patternFill patternType="solid">
        <fgColor rgb="00FFD966"/>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9" fillId="0" borderId="0" pivotButton="0" quotePrefix="0" xfId="0"/>
    <xf numFmtId="0" fontId="10" fillId="0" borderId="0" applyAlignment="1" pivotButton="0" quotePrefix="0" xfId="0">
      <alignment horizontal="center"/>
    </xf>
    <xf numFmtId="0" fontId="13" fillId="0" borderId="0" pivotButton="0" quotePrefix="0" xfId="0"/>
    <xf numFmtId="0" fontId="3" fillId="3" borderId="1" applyAlignment="1" pivotButton="0" quotePrefix="0" xfId="0">
      <alignment horizontal="center" vertical="center" wrapText="1"/>
    </xf>
    <xf numFmtId="0" fontId="14" fillId="8" borderId="1" pivotButton="0" quotePrefix="0" xfId="0"/>
    <xf numFmtId="164" fontId="14" fillId="8" borderId="1" pivotButton="0" quotePrefix="0" xfId="0"/>
    <xf numFmtId="165" fontId="14" fillId="8" borderId="1" applyAlignment="1" pivotButton="0" quotePrefix="0" xfId="0">
      <alignment horizontal="center"/>
    </xf>
    <xf numFmtId="0" fontId="14" fillId="8" borderId="1" applyAlignment="1" pivotButton="0" quotePrefix="0" xfId="0">
      <alignment horizontal="center"/>
    </xf>
    <xf numFmtId="0" fontId="15" fillId="5" borderId="1" pivotButton="0" quotePrefix="0" xfId="0"/>
    <xf numFmtId="164" fontId="15" fillId="5" borderId="1" pivotButton="0" quotePrefix="0" xfId="0"/>
    <xf numFmtId="165" fontId="15" fillId="5" borderId="1" applyAlignment="1" pivotButton="0" quotePrefix="0" xfId="0">
      <alignment horizontal="center"/>
    </xf>
    <xf numFmtId="0" fontId="15" fillId="5" borderId="1" applyAlignment="1" pivotButton="0" quotePrefix="0" xfId="0">
      <alignment horizontal="center"/>
    </xf>
    <xf numFmtId="0" fontId="16" fillId="9" borderId="0" applyAlignment="1" pivotButton="0" quotePrefix="0" xfId="0">
      <alignment vertical="center" indent="1"/>
    </xf>
    <xf numFmtId="0" fontId="9" fillId="8" borderId="1" pivotButton="0" quotePrefix="0" xfId="0"/>
    <xf numFmtId="164" fontId="17" fillId="8" borderId="1" applyAlignment="1" pivotButton="0" quotePrefix="0" xfId="0">
      <alignment horizontal="right" vertical="center"/>
    </xf>
    <xf numFmtId="0" fontId="2" fillId="8" borderId="1" applyAlignment="1" pivotButton="0" quotePrefix="0" xfId="0">
      <alignment vertical="center" indent="1"/>
    </xf>
    <xf numFmtId="0" fontId="18" fillId="10" borderId="1" pivotButton="0" quotePrefix="0" xfId="0"/>
    <xf numFmtId="164" fontId="19" fillId="10" borderId="1" applyAlignment="1" pivotButton="0" quotePrefix="0" xfId="0">
      <alignment horizontal="right" vertical="center"/>
    </xf>
    <xf numFmtId="0" fontId="2" fillId="10" borderId="1" applyAlignment="1" pivotButton="0" quotePrefix="0" xfId="0">
      <alignment vertical="center" indent="1"/>
    </xf>
    <xf numFmtId="165" fontId="17" fillId="8" borderId="1" applyAlignment="1" pivotButton="0" quotePrefix="0" xfId="0">
      <alignment horizontal="right" vertical="center"/>
    </xf>
    <xf numFmtId="0" fontId="20" fillId="0" borderId="0" applyAlignment="1" pivotButton="0" quotePrefix="0" xfId="0">
      <alignment vertical="center" indent="1"/>
    </xf>
    <xf numFmtId="0" fontId="21" fillId="9" borderId="0" applyAlignment="1" pivotButton="0" quotePrefix="0" xfId="0">
      <alignment vertical="center" indent="1"/>
    </xf>
    <xf numFmtId="0" fontId="4" fillId="0" borderId="1" applyAlignment="1" pivotButton="0" quotePrefix="0" xfId="0">
      <alignment horizontal="center"/>
    </xf>
    <xf numFmtId="0" fontId="4" fillId="0" borderId="1" pivotButton="0" quotePrefix="0" xfId="0"/>
    <xf numFmtId="164" fontId="4" fillId="0" borderId="1" pivotButton="0" quotePrefix="0" xfId="0"/>
    <xf numFmtId="164" fontId="22" fillId="0" borderId="1" pivotButton="0" quotePrefix="0" xfId="0"/>
    <xf numFmtId="165" fontId="4" fillId="0" borderId="1" pivotButton="0" quotePrefix="0" xfId="0"/>
    <xf numFmtId="0" fontId="21" fillId="3" borderId="0" applyAlignment="1" pivotButton="0" quotePrefix="0" xfId="0">
      <alignment vertical="center" indent="1"/>
    </xf>
    <xf numFmtId="0" fontId="10" fillId="7" borderId="1" applyAlignment="1" pivotButton="0" quotePrefix="0" xfId="0">
      <alignment horizontal="center"/>
    </xf>
    <xf numFmtId="0" fontId="11" fillId="0" borderId="0" pivotButton="0" quotePrefix="0" xfId="0"/>
    <xf numFmtId="0" fontId="11" fillId="0" borderId="0" applyAlignment="1" pivotButton="0" quotePrefix="0" xfId="0">
      <alignment horizontal="center"/>
    </xf>
    <xf numFmtId="0" fontId="12" fillId="0" borderId="0" pivotButton="0" quotePrefix="0" xfId="0"/>
    <xf numFmtId="0" fontId="4" fillId="4" borderId="1" applyAlignment="1" pivotButton="0" quotePrefix="0" xfId="0">
      <alignment horizontal="left" vertical="center"/>
    </xf>
    <xf numFmtId="0" fontId="4" fillId="4" borderId="1" applyAlignment="1" pivotButton="0" quotePrefix="0" xfId="0">
      <alignment horizontal="left" vertical="center" wrapText="1"/>
    </xf>
    <xf numFmtId="164" fontId="4" fillId="4" borderId="1" pivotButton="0" quotePrefix="0" xfId="0"/>
    <xf numFmtId="165" fontId="4" fillId="4" borderId="1" pivotButton="0" quotePrefix="0" xfId="0"/>
    <xf numFmtId="0" fontId="4" fillId="4" borderId="1" applyAlignment="1" pivotButton="0" quotePrefix="0" xfId="0">
      <alignment horizontal="center" vertical="center"/>
    </xf>
    <xf numFmtId="0" fontId="12" fillId="4" borderId="1" pivotButton="0" quotePrefix="0" xfId="0"/>
    <xf numFmtId="164" fontId="12" fillId="0" borderId="0" pivotButton="0" quotePrefix="0" xfId="0"/>
    <xf numFmtId="0" fontId="6" fillId="2" borderId="1" pivotButton="0" quotePrefix="0" xfId="0"/>
    <xf numFmtId="164" fontId="6" fillId="2" borderId="1" pivotButton="0" quotePrefix="0" xfId="0"/>
    <xf numFmtId="165" fontId="6" fillId="2" borderId="1" pivotButton="0" quotePrefix="0" xfId="0"/>
    <xf numFmtId="164" fontId="5" fillId="5" borderId="1" pivotButton="0" quotePrefix="0" xfId="0"/>
    <xf numFmtId="0" fontId="3" fillId="6" borderId="1" applyAlignment="1" pivotButton="0" quotePrefix="0" xfId="0">
      <alignment horizontal="center" vertical="center" wrapText="1"/>
    </xf>
    <xf numFmtId="0" fontId="7" fillId="4" borderId="1" applyAlignment="1" pivotButton="0" quotePrefix="0" xfId="0">
      <alignment horizontal="left" vertical="center"/>
    </xf>
    <xf numFmtId="0" fontId="7" fillId="4" borderId="1" applyAlignment="1" pivotButton="0" quotePrefix="0" xfId="0">
      <alignment horizontal="left" vertical="center" wrapText="1"/>
    </xf>
    <xf numFmtId="164" fontId="4" fillId="7" borderId="1" pivotButton="0" quotePrefix="0" xfId="0"/>
    <xf numFmtId="0" fontId="8" fillId="7" borderId="1" applyAlignment="1" pivotButton="0" quotePrefix="0" xfId="0">
      <alignment vertical="center" wrapText="1"/>
    </xf>
    <xf numFmtId="0" fontId="6" fillId="6" borderId="1" pivotButton="0" quotePrefix="0" xfId="0"/>
    <xf numFmtId="164" fontId="6" fillId="6" borderId="1" pivotButton="0" quotePrefix="0" xfId="0"/>
    <xf numFmtId="0" fontId="4" fillId="8" borderId="1" applyAlignment="1" pivotButton="0" quotePrefix="0" xfId="0">
      <alignment horizontal="center"/>
    </xf>
    <xf numFmtId="164" fontId="4" fillId="8" borderId="1" pivotButton="0" quotePrefix="0" xfId="0"/>
    <xf numFmtId="0" fontId="4" fillId="4" borderId="1" applyAlignment="1" pivotButton="0" quotePrefix="0" xfId="0">
      <alignment horizontal="center"/>
    </xf>
    <xf numFmtId="0" fontId="4" fillId="8" borderId="1" pivotButton="0" quotePrefix="0" xfId="0"/>
    <xf numFmtId="165" fontId="4" fillId="8" borderId="1" applyAlignment="1" pivotButton="0" quotePrefix="0" xfId="0">
      <alignment horizontal="center"/>
    </xf>
    <xf numFmtId="0" fontId="4" fillId="4" borderId="1" pivotButton="0" quotePrefix="0" xfId="0"/>
    <xf numFmtId="165" fontId="4" fillId="4" borderId="1" applyAlignment="1" pivotButton="0" quotePrefix="0" xfId="0">
      <alignment horizontal="center"/>
    </xf>
    <xf numFmtId="165" fontId="6" fillId="2" borderId="1" applyAlignment="1" pivotButton="0" quotePrefix="0" xfId="0">
      <alignment horizontal="center"/>
    </xf>
    <xf numFmtId="0" fontId="4"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11" borderId="1" applyAlignment="1" pivotButton="0" quotePrefix="0" xfId="0">
      <alignment horizontal="center"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12" borderId="1" applyAlignment="1" pivotButton="0" quotePrefix="0" xfId="0">
      <alignment horizontal="center" vertical="top" wrapText="1"/>
    </xf>
    <xf numFmtId="0" fontId="5" fillId="10" borderId="1" applyAlignment="1" pivotButton="0" quotePrefix="0" xfId="0">
      <alignment horizontal="center" vertical="top" wrapText="1"/>
    </xf>
    <xf numFmtId="0" fontId="5" fillId="13" borderId="1" applyAlignment="1" pivotButton="0" quotePrefix="0" xfId="0">
      <alignment horizontal="center" vertical="top" wrapText="1"/>
    </xf>
    <xf numFmtId="0" fontId="5" fillId="14" borderId="1" applyAlignment="1" pivotButton="0" quotePrefix="0" xfId="0">
      <alignment horizontal="center" vertical="top" wrapText="1"/>
    </xf>
    <xf numFmtId="0" fontId="9" fillId="0" borderId="1" applyAlignment="1" pivotButton="0" quotePrefix="0" xfId="0">
      <alignment horizontal="left" vertical="top"/>
    </xf>
    <xf numFmtId="0" fontId="25" fillId="0" borderId="1" applyAlignment="1" pivotButton="0" quotePrefix="0" xfId="0">
      <alignment vertical="top" wrapText="1"/>
    </xf>
    <xf numFmtId="0" fontId="5"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21" fillId="2" borderId="0" applyAlignment="1" pivotButton="0" quotePrefix="0" xfId="0">
      <alignment vertical="center" indent="1"/>
    </xf>
    <xf numFmtId="0" fontId="5" fillId="0"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23" fillId="4" borderId="0" applyAlignment="1" pivotButton="0" quotePrefix="0" xfId="0">
      <alignment vertical="center" indent="1"/>
    </xf>
    <xf numFmtId="0" fontId="21" fillId="6" borderId="0" applyAlignment="1" pivotButton="0" quotePrefix="0" xfId="0">
      <alignment vertical="center" indent="1"/>
    </xf>
    <xf numFmtId="0" fontId="2" fillId="0" borderId="0" applyAlignment="1" pivotButton="0" quotePrefix="0" xfId="0">
      <alignment vertical="center" wrapText="1" indent="1"/>
    </xf>
    <xf numFmtId="0" fontId="5" fillId="0" borderId="1" pivotButton="0" quotePrefix="0" xfId="0"/>
    <xf numFmtId="0" fontId="4" fillId="7" borderId="1" pivotButton="0" quotePrefix="0" xfId="0"/>
    <xf numFmtId="0" fontId="3" fillId="9" borderId="1" applyAlignment="1" pivotButton="0" quotePrefix="0" xfId="0">
      <alignment horizontal="center" vertical="center" wrapText="1"/>
    </xf>
    <xf numFmtId="1" fontId="4" fillId="4" borderId="1" applyAlignment="1" pivotButton="0" quotePrefix="0" xfId="0">
      <alignment horizontal="center"/>
    </xf>
    <xf numFmtId="0" fontId="4" fillId="15" borderId="1" pivotButton="0" quotePrefix="0" xfId="0"/>
    <xf numFmtId="0" fontId="4" fillId="15" borderId="1" applyAlignment="1" pivotButton="0" quotePrefix="0" xfId="0">
      <alignment horizontal="center"/>
    </xf>
    <xf numFmtId="164" fontId="4" fillId="15" borderId="1" pivotButton="0" quotePrefix="0" xfId="0"/>
    <xf numFmtId="164" fontId="5" fillId="15" borderId="1" pivotButton="0" quotePrefix="0" xfId="0"/>
    <xf numFmtId="0" fontId="24" fillId="15" borderId="1" applyAlignment="1" pivotButton="0" quotePrefix="0" xfId="0">
      <alignment vertical="center" wrapText="1"/>
    </xf>
    <xf numFmtId="164" fontId="5" fillId="8" borderId="1" pivotButton="0" quotePrefix="0" xfId="0"/>
    <xf numFmtId="0" fontId="24" fillId="8" borderId="1" applyAlignment="1" pivotButton="0" quotePrefix="0" xfId="0">
      <alignment vertical="center" wrapText="1"/>
    </xf>
    <xf numFmtId="0" fontId="8" fillId="0" borderId="1" pivotButton="0" quotePrefix="0" xfId="0"/>
    <xf numFmtId="164" fontId="8" fillId="0" borderId="1" pivotButton="0" quotePrefix="0" xfId="0"/>
    <xf numFmtId="0" fontId="5" fillId="0" borderId="0" pivotButton="0" quotePrefix="0" xfId="0"/>
    <xf numFmtId="164" fontId="9" fillId="0" borderId="0" pivotButton="0" quotePrefix="0" xfId="0"/>
  </cellXfs>
  <cellStyles count="1">
    <cellStyle name="Normal" xfId="0" builtinId="0" hidden="0"/>
  </cellStyles>
  <dxfs count="2">
    <dxf>
      <font>
        <b val="1"/>
        <color rgb="009C0006"/>
        <sz val="9"/>
      </font>
      <fill>
        <patternFill patternType="solid">
          <fgColor rgb="00FFC7CE"/>
        </patternFill>
      </fill>
    </dxf>
    <dxf>
      <font>
        <color rgb="00006100"/>
        <sz val="9"/>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style val="2"/>
  <chart>
    <title>
      <tx>
        <rich>
          <a:bodyPr/>
          <a:p>
            <a:pPr>
              <a:defRPr/>
            </a:pPr>
            <a:r>
              <a:t>Acumulado: Planejado x Realizado</a:t>
            </a:r>
          </a:p>
        </rich>
      </tx>
    </title>
    <plotArea>
      <lineChart>
        <grouping val="standard"/>
        <ser>
          <idx val="0"/>
          <order val="0"/>
          <tx>
            <strRef>
              <f>'Evolução Mensal'!G4</f>
            </strRef>
          </tx>
          <spPr>
            <a:ln>
              <a:prstDash val="solid"/>
            </a:ln>
          </spPr>
          <marker>
            <symbol val="none"/>
            <spPr>
              <a:ln>
                <a:prstDash val="solid"/>
              </a:ln>
            </spPr>
          </marker>
          <cat>
            <numRef>
              <f>'Evolução Mensal'!$A$5:$A$16</f>
            </numRef>
          </cat>
          <val>
            <numRef>
              <f>'Evolução Mensal'!$G$5:$G$16</f>
            </numRef>
          </val>
        </ser>
        <ser>
          <idx val="1"/>
          <order val="1"/>
          <tx>
            <strRef>
              <f>'Evolução Mensal'!H4</f>
            </strRef>
          </tx>
          <spPr>
            <a:ln>
              <a:prstDash val="solid"/>
            </a:ln>
          </spPr>
          <marker>
            <symbol val="none"/>
            <spPr>
              <a:ln>
                <a:prstDash val="solid"/>
              </a:ln>
            </spPr>
          </marker>
          <cat>
            <numRef>
              <f>'Evolução Mensal'!$A$5:$A$16</f>
            </numRef>
          </cat>
          <val>
            <numRef>
              <f>'Evolução Mensal'!$H$5:$H$16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R$ #,##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Mês a mês: Planejado x Realizado</a:t>
            </a:r>
          </a:p>
        </rich>
      </tx>
    </title>
    <plotArea>
      <lineChart>
        <grouping val="standard"/>
        <ser>
          <idx val="0"/>
          <order val="0"/>
          <tx>
            <strRef>
              <f>'Evolução Mensal'!D4</f>
            </strRef>
          </tx>
          <spPr>
            <a:ln>
              <a:prstDash val="solid"/>
            </a:ln>
          </spPr>
          <marker>
            <symbol val="none"/>
            <spPr>
              <a:ln>
                <a:prstDash val="solid"/>
              </a:ln>
            </spPr>
          </marker>
          <cat>
            <numRef>
              <f>'Evolução Mensal'!$A$5:$A$16</f>
            </numRef>
          </cat>
          <val>
            <numRef>
              <f>'Evolução Mensal'!$D$5:$D$16</f>
            </numRef>
          </val>
        </ser>
        <ser>
          <idx val="1"/>
          <order val="1"/>
          <tx>
            <strRef>
              <f>'Evolução Mensal'!E4</f>
            </strRef>
          </tx>
          <spPr>
            <a:ln>
              <a:prstDash val="solid"/>
            </a:ln>
          </spPr>
          <marker>
            <symbol val="none"/>
            <spPr>
              <a:ln>
                <a:prstDash val="solid"/>
              </a:ln>
            </spPr>
          </marker>
          <cat>
            <numRef>
              <f>'Evolução Mensal'!$A$5:$A$16</f>
            </numRef>
          </cat>
          <val>
            <numRef>
              <f>'Evolução Mensal'!$E$5:$E$16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R$ #,##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4</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16" customWidth="1" min="1" max="1"/>
    <col width="34" customWidth="1" min="2" max="2"/>
    <col width="17" customWidth="1" min="3" max="3"/>
    <col width="17" customWidth="1" min="4" max="4"/>
    <col width="17" customWidth="1" min="5" max="5"/>
    <col width="16" customWidth="1" min="6" max="6"/>
    <col width="14" customWidth="1" min="7" max="7"/>
    <col width="20" customWidth="1" min="8" max="8"/>
    <col width="16" customWidth="1" min="9" max="9"/>
  </cols>
  <sheetData>
    <row r="1" ht="30" customHeight="1">
      <c r="A1" s="1" t="inlineStr">
        <is>
          <t>PAINEL EXECUTIVO  —  Orçamento 2026  TI</t>
        </is>
      </c>
    </row>
    <row r="2" ht="18" customHeight="1">
      <c r="A2" s="2" t="inlineStr">
        <is>
          <t>Acompanha o mês selecionado na aba Comparativo (célula B3). Desvio positivo = gastou acima do orçado. ATENÇÃO: confira a coluna 'Linhas lançadas' — desvio negativo em linha não lançada é ausência de dado, não economia.</t>
        </is>
      </c>
    </row>
    <row r="3">
      <c r="A3" s="3" t="inlineStr">
        <is>
          <t>Mês de referência:</t>
        </is>
      </c>
      <c r="B3" s="4">
        <f>Comparativo!$B$3</f>
        <v/>
      </c>
      <c r="C3" s="5" t="inlineStr">
        <is>
          <t>(altere na aba Comparativo)</t>
        </is>
      </c>
    </row>
    <row r="5" ht="30" customHeight="1">
      <c r="A5" s="6" t="inlineStr">
        <is>
          <t>Departamento</t>
        </is>
      </c>
      <c r="B5" s="6" t="inlineStr">
        <is>
          <t>Bloco</t>
        </is>
      </c>
      <c r="C5" s="6" t="inlineStr">
        <is>
          <t>Orçado do ano</t>
        </is>
      </c>
      <c r="D5" s="6" t="inlineStr">
        <is>
          <t>Planejado acum.</t>
        </is>
      </c>
      <c r="E5" s="6" t="inlineStr">
        <is>
          <t>Realizado acum.</t>
        </is>
      </c>
      <c r="F5" s="6" t="inlineStr">
        <is>
          <t>Desvio (R$)</t>
        </is>
      </c>
      <c r="G5" s="6" t="inlineStr">
        <is>
          <t>Desvio (%)</t>
        </is>
      </c>
      <c r="H5" s="6" t="inlineStr">
        <is>
          <t>% Executado do ano</t>
        </is>
      </c>
      <c r="I5" s="6" t="inlineStr">
        <is>
          <t>Linhas lançadas</t>
        </is>
      </c>
    </row>
    <row r="6" ht="22" customHeight="1">
      <c r="A6" s="7" t="inlineStr">
        <is>
          <t>TI</t>
        </is>
      </c>
      <c r="B6" s="7" t="inlineStr">
        <is>
          <t>Equipe</t>
        </is>
      </c>
      <c r="C6" s="8">
        <f>SUMIFS(Planejado!$T$5:$T$22,Planejado!$B$5:$B$22,"TI",Planejado!$C$5:$C$22,"Equipe")</f>
        <v/>
      </c>
      <c r="D6" s="8">
        <f>SUMIFS(Comparativo!$I$6:$I$23,Comparativo!$B$6:$B$23,"TI",Comparativo!$C$6:$C$23,"Equipe")</f>
        <v/>
      </c>
      <c r="E6" s="8">
        <f>SUMIFS(Comparativo!$J$6:$J$23,Comparativo!$B$6:$B$23,"TI",Comparativo!$C$6:$C$23,"Equipe")</f>
        <v/>
      </c>
      <c r="F6" s="8">
        <f>E6-D6</f>
        <v/>
      </c>
      <c r="G6" s="9">
        <f>IFERROR(F6/D6,"")</f>
        <v/>
      </c>
      <c r="H6" s="9">
        <f>IFERROR(E6/C6,"")</f>
        <v/>
      </c>
      <c r="I6" s="10">
        <f>COUNTIFS(Comparativo!$P$6:$P$23,"&gt;0",Comparativo!$B$6:$B$23,"TI",Comparativo!$C$6:$C$23,"Equipe")&amp;" de "&amp;COUNTIFS(Comparativo!$A$6:$A$23,"?*",Comparativo!$B$6:$B$23,"TI",Comparativo!$C$6:$C$23,"Equipe")</f>
        <v/>
      </c>
    </row>
    <row r="7" ht="22" customHeight="1">
      <c r="A7" s="7" t="inlineStr">
        <is>
          <t>TI</t>
        </is>
      </c>
      <c r="B7" s="7" t="inlineStr">
        <is>
          <t>Despesas</t>
        </is>
      </c>
      <c r="C7" s="8">
        <f>SUMIFS(Planejado!$T$5:$T$22,Planejado!$B$5:$B$22,"TI",Planejado!$C$5:$C$22,"Despesas")</f>
        <v/>
      </c>
      <c r="D7" s="8">
        <f>SUMIFS(Comparativo!$I$6:$I$23,Comparativo!$B$6:$B$23,"TI",Comparativo!$C$6:$C$23,"Despesas")</f>
        <v/>
      </c>
      <c r="E7" s="8">
        <f>SUMIFS(Comparativo!$J$6:$J$23,Comparativo!$B$6:$B$23,"TI",Comparativo!$C$6:$C$23,"Despesas")</f>
        <v/>
      </c>
      <c r="F7" s="8">
        <f>E7-D7</f>
        <v/>
      </c>
      <c r="G7" s="9">
        <f>IFERROR(F7/D7,"")</f>
        <v/>
      </c>
      <c r="H7" s="9">
        <f>IFERROR(E7/C7,"")</f>
        <v/>
      </c>
      <c r="I7" s="10">
        <f>COUNTIFS(Comparativo!$P$6:$P$23,"&gt;0",Comparativo!$B$6:$B$23,"TI",Comparativo!$C$6:$C$23,"Despesas")&amp;" de "&amp;COUNTIFS(Comparativo!$A$6:$A$23,"?*",Comparativo!$B$6:$B$23,"TI",Comparativo!$C$6:$C$23,"Despesas")</f>
        <v/>
      </c>
    </row>
    <row r="8" ht="22" customHeight="1">
      <c r="A8" s="11" t="inlineStr">
        <is>
          <t>TI</t>
        </is>
      </c>
      <c r="B8" s="11" t="inlineStr">
        <is>
          <t>Equipe + Despesas</t>
        </is>
      </c>
      <c r="C8" s="12">
        <f>SUMIFS(Planejado!$T$5:$T$22,Planejado!$B$5:$B$22,"TI")</f>
        <v/>
      </c>
      <c r="D8" s="12">
        <f>SUMIFS(Comparativo!$I$6:$I$23,Comparativo!$B$6:$B$23,"TI")</f>
        <v/>
      </c>
      <c r="E8" s="12">
        <f>SUMIFS(Comparativo!$J$6:$J$23,Comparativo!$B$6:$B$23,"TI")</f>
        <v/>
      </c>
      <c r="F8" s="12">
        <f>E8-D8</f>
        <v/>
      </c>
      <c r="G8" s="13">
        <f>IFERROR(F8/D8,"")</f>
        <v/>
      </c>
      <c r="H8" s="13">
        <f>IFERROR(E8/C8,"")</f>
        <v/>
      </c>
      <c r="I8" s="14">
        <f>COUNTIFS(Comparativo!$P$6:$P$23,"&gt;0",Comparativo!$B$6:$B$23,"TI")&amp;" de "&amp;COUNTIFS(Comparativo!$A$6:$A$23,"?*",Comparativo!$B$6:$B$23,"TI")</f>
        <v/>
      </c>
    </row>
    <row r="11" ht="24" customHeight="1">
      <c r="A11" s="15" t="inlineStr">
        <is>
          <t>ECONOMIA GERADA — acumulado de janeiro até o mês de referência</t>
        </is>
      </c>
    </row>
    <row r="12" ht="20" customHeight="1">
      <c r="A12" s="16" t="inlineStr">
        <is>
          <t>Economia bruta</t>
        </is>
      </c>
      <c r="B12" s="16" t="n"/>
      <c r="C12" s="17">
        <f>-SUMIF(Comparativo!$Q$6:$Q$23,"&lt;0")</f>
        <v/>
      </c>
      <c r="D12" s="18" t="inlineStr">
        <is>
          <t>Soma de tudo que ficou abaixo do orçado</t>
        </is>
      </c>
      <c r="E12" s="18" t="n"/>
      <c r="F12" s="18" t="n"/>
      <c r="G12" s="18" t="n"/>
      <c r="H12" s="18" t="n"/>
      <c r="I12" s="18" t="n"/>
    </row>
    <row r="13" ht="20" customHeight="1">
      <c r="A13" s="16" t="inlineStr">
        <is>
          <t>(−) Gastos acima do orçado</t>
        </is>
      </c>
      <c r="B13" s="16" t="n"/>
      <c r="C13" s="17">
        <f>-SUMIF(Comparativo!$Q$6:$Q$23,"&gt;0")</f>
        <v/>
      </c>
      <c r="D13" s="18" t="inlineStr">
        <is>
          <t>Estouros que consomem parte da economia</t>
        </is>
      </c>
      <c r="E13" s="18" t="n"/>
      <c r="F13" s="18" t="n"/>
      <c r="G13" s="18" t="n"/>
      <c r="H13" s="18" t="n"/>
      <c r="I13" s="18" t="n"/>
    </row>
    <row r="14" ht="26" customHeight="1">
      <c r="A14" s="19">
        <f> ECONOMIA LÍQUIDA</f>
        <v/>
      </c>
      <c r="B14" s="19" t="n"/>
      <c r="C14" s="20">
        <f>-SUM(Comparativo!$Q$6:$Q$23)</f>
        <v/>
      </c>
      <c r="D14" s="21" t="inlineStr">
        <is>
          <t>O número defensável: só linhas comparáveis</t>
        </is>
      </c>
      <c r="E14" s="21" t="n"/>
      <c r="F14" s="21" t="n"/>
      <c r="G14" s="21" t="n"/>
      <c r="H14" s="21" t="n"/>
      <c r="I14" s="21" t="n"/>
    </row>
    <row r="15" ht="20" customHeight="1">
      <c r="A15" s="16" t="inlineStr">
        <is>
          <t>Projeção para o ano</t>
        </is>
      </c>
      <c r="B15" s="16" t="n"/>
      <c r="C15" s="17">
        <f>IFERROR(-SUM(Comparativo!$Q$6:$Q$23)/Comparativo!$D$3*12,"")</f>
        <v/>
      </c>
      <c r="D15" s="18" t="inlineStr">
        <is>
          <t>Extrapolação linear, se o padrão dos meses fechados se mantiver</t>
        </is>
      </c>
      <c r="E15" s="18" t="n"/>
      <c r="F15" s="18" t="n"/>
      <c r="G15" s="18" t="n"/>
      <c r="H15" s="18" t="n"/>
      <c r="I15" s="18" t="n"/>
    </row>
    <row r="16" ht="20" customHeight="1">
      <c r="A16" s="16" t="inlineStr">
        <is>
          <t>% sobre o orçado do período</t>
        </is>
      </c>
      <c r="B16" s="16" t="n"/>
      <c r="C16" s="22">
        <f>IFERROR(-SUM(Comparativo!$Q$6:$Q$23)/SUM(Comparativo!$S$6:$S$23),"")</f>
        <v/>
      </c>
      <c r="D16" s="18" t="inlineStr">
        <is>
          <t>Economia líquida ÷ planejado das linhas que entram na conta</t>
        </is>
      </c>
      <c r="E16" s="18" t="n"/>
      <c r="F16" s="18" t="n"/>
      <c r="G16" s="18" t="n"/>
      <c r="H16" s="18" t="n"/>
      <c r="I16" s="18" t="n"/>
    </row>
    <row r="17" ht="18" customHeight="1">
      <c r="A17" s="23" t="inlineStr">
        <is>
          <t>Fora desta conta: linhas sem nenhum lançamento. Só entra o que foi efetivamente lançado e é comparável.</t>
        </is>
      </c>
    </row>
    <row r="19" ht="22" customHeight="1">
      <c r="A19" s="24" t="inlineStr">
        <is>
          <t>DE ONDE VEIO A ECONOMIA (top 5)</t>
        </is>
      </c>
    </row>
    <row r="20" ht="30" customHeight="1">
      <c r="A20" s="6" t="inlineStr">
        <is>
          <t>#</t>
        </is>
      </c>
      <c r="B20" s="6" t="inlineStr">
        <is>
          <t>Item</t>
        </is>
      </c>
      <c r="C20" s="6" t="inlineStr">
        <is>
          <t>Departamento</t>
        </is>
      </c>
      <c r="D20" s="6" t="inlineStr">
        <is>
          <t>Planejado acum.</t>
        </is>
      </c>
      <c r="E20" s="6" t="inlineStr">
        <is>
          <t>Realizado acum.</t>
        </is>
      </c>
      <c r="F20" s="6" t="inlineStr">
        <is>
          <t>Economia (R$)</t>
        </is>
      </c>
      <c r="G20" s="6" t="inlineStr">
        <is>
          <t>% da linha</t>
        </is>
      </c>
      <c r="H20" s="6" t="inlineStr"/>
      <c r="I20" s="6" t="inlineStr"/>
    </row>
    <row r="21">
      <c r="A21" s="25" t="n">
        <v>1</v>
      </c>
      <c r="B21" s="26">
        <f>IFERROR(INDEX(Comparativo!$D$6:$D$23,MATCH(LARGE(Comparativo!$R$6:$R$23,A21),Comparativo!$R$6:$R$23,0)),"")</f>
        <v/>
      </c>
      <c r="C21" s="26">
        <f>IFERROR(INDEX(Comparativo!$B$6:$B$23,MATCH(LARGE(Comparativo!$R$6:$R$23,A21),Comparativo!$R$6:$R$23,0)),"")</f>
        <v/>
      </c>
      <c r="D21" s="27">
        <f>IFERROR(INDEX(Comparativo!$I$6:$I$23,MATCH(LARGE(Comparativo!$R$6:$R$23,A21),Comparativo!$R$6:$R$23,0)),"")</f>
        <v/>
      </c>
      <c r="E21" s="27">
        <f>IFERROR(INDEX(Comparativo!$J$6:$J$23,MATCH(LARGE(Comparativo!$R$6:$R$23,A21),Comparativo!$R$6:$R$23,0)),"")</f>
        <v/>
      </c>
      <c r="F21" s="28">
        <f>IFERROR(-IFERROR(INDEX(Comparativo!$K$6:$K$23,MATCH(LARGE(Comparativo!$R$6:$R$23,A21),Comparativo!$R$6:$R$23,0)),""),"")</f>
        <v/>
      </c>
      <c r="G21" s="29">
        <f>IFERROR(F21/D21,"")</f>
        <v/>
      </c>
    </row>
    <row r="22">
      <c r="A22" s="25" t="n">
        <v>2</v>
      </c>
      <c r="B22" s="26">
        <f>IFERROR(INDEX(Comparativo!$D$6:$D$23,MATCH(LARGE(Comparativo!$R$6:$R$23,A22),Comparativo!$R$6:$R$23,0)),"")</f>
        <v/>
      </c>
      <c r="C22" s="26">
        <f>IFERROR(INDEX(Comparativo!$B$6:$B$23,MATCH(LARGE(Comparativo!$R$6:$R$23,A22),Comparativo!$R$6:$R$23,0)),"")</f>
        <v/>
      </c>
      <c r="D22" s="27">
        <f>IFERROR(INDEX(Comparativo!$I$6:$I$23,MATCH(LARGE(Comparativo!$R$6:$R$23,A22),Comparativo!$R$6:$R$23,0)),"")</f>
        <v/>
      </c>
      <c r="E22" s="27">
        <f>IFERROR(INDEX(Comparativo!$J$6:$J$23,MATCH(LARGE(Comparativo!$R$6:$R$23,A22),Comparativo!$R$6:$R$23,0)),"")</f>
        <v/>
      </c>
      <c r="F22" s="28">
        <f>IFERROR(-IFERROR(INDEX(Comparativo!$K$6:$K$23,MATCH(LARGE(Comparativo!$R$6:$R$23,A22),Comparativo!$R$6:$R$23,0)),""),"")</f>
        <v/>
      </c>
      <c r="G22" s="29">
        <f>IFERROR(F22/D22,"")</f>
        <v/>
      </c>
    </row>
    <row r="23">
      <c r="A23" s="25" t="n">
        <v>3</v>
      </c>
      <c r="B23" s="26">
        <f>IFERROR(INDEX(Comparativo!$D$6:$D$23,MATCH(LARGE(Comparativo!$R$6:$R$23,A23),Comparativo!$R$6:$R$23,0)),"")</f>
        <v/>
      </c>
      <c r="C23" s="26">
        <f>IFERROR(INDEX(Comparativo!$B$6:$B$23,MATCH(LARGE(Comparativo!$R$6:$R$23,A23),Comparativo!$R$6:$R$23,0)),"")</f>
        <v/>
      </c>
      <c r="D23" s="27">
        <f>IFERROR(INDEX(Comparativo!$I$6:$I$23,MATCH(LARGE(Comparativo!$R$6:$R$23,A23),Comparativo!$R$6:$R$23,0)),"")</f>
        <v/>
      </c>
      <c r="E23" s="27">
        <f>IFERROR(INDEX(Comparativo!$J$6:$J$23,MATCH(LARGE(Comparativo!$R$6:$R$23,A23),Comparativo!$R$6:$R$23,0)),"")</f>
        <v/>
      </c>
      <c r="F23" s="28">
        <f>IFERROR(-IFERROR(INDEX(Comparativo!$K$6:$K$23,MATCH(LARGE(Comparativo!$R$6:$R$23,A23),Comparativo!$R$6:$R$23,0)),""),"")</f>
        <v/>
      </c>
      <c r="G23" s="29">
        <f>IFERROR(F23/D23,"")</f>
        <v/>
      </c>
    </row>
    <row r="24">
      <c r="A24" s="25" t="n">
        <v>4</v>
      </c>
      <c r="B24" s="26">
        <f>IFERROR(INDEX(Comparativo!$D$6:$D$23,MATCH(LARGE(Comparativo!$R$6:$R$23,A24),Comparativo!$R$6:$R$23,0)),"")</f>
        <v/>
      </c>
      <c r="C24" s="26">
        <f>IFERROR(INDEX(Comparativo!$B$6:$B$23,MATCH(LARGE(Comparativo!$R$6:$R$23,A24),Comparativo!$R$6:$R$23,0)),"")</f>
        <v/>
      </c>
      <c r="D24" s="27">
        <f>IFERROR(INDEX(Comparativo!$I$6:$I$23,MATCH(LARGE(Comparativo!$R$6:$R$23,A24),Comparativo!$R$6:$R$23,0)),"")</f>
        <v/>
      </c>
      <c r="E24" s="27">
        <f>IFERROR(INDEX(Comparativo!$J$6:$J$23,MATCH(LARGE(Comparativo!$R$6:$R$23,A24),Comparativo!$R$6:$R$23,0)),"")</f>
        <v/>
      </c>
      <c r="F24" s="28">
        <f>IFERROR(-IFERROR(INDEX(Comparativo!$K$6:$K$23,MATCH(LARGE(Comparativo!$R$6:$R$23,A24),Comparativo!$R$6:$R$23,0)),""),"")</f>
        <v/>
      </c>
      <c r="G24" s="29">
        <f>IFERROR(F24/D24,"")</f>
        <v/>
      </c>
    </row>
    <row r="25">
      <c r="A25" s="25" t="n">
        <v>5</v>
      </c>
      <c r="B25" s="26">
        <f>IFERROR(INDEX(Comparativo!$D$6:$D$23,MATCH(LARGE(Comparativo!$R$6:$R$23,A25),Comparativo!$R$6:$R$23,0)),"")</f>
        <v/>
      </c>
      <c r="C25" s="26">
        <f>IFERROR(INDEX(Comparativo!$B$6:$B$23,MATCH(LARGE(Comparativo!$R$6:$R$23,A25),Comparativo!$R$6:$R$23,0)),"")</f>
        <v/>
      </c>
      <c r="D25" s="27">
        <f>IFERROR(INDEX(Comparativo!$I$6:$I$23,MATCH(LARGE(Comparativo!$R$6:$R$23,A25),Comparativo!$R$6:$R$23,0)),"")</f>
        <v/>
      </c>
      <c r="E25" s="27">
        <f>IFERROR(INDEX(Comparativo!$J$6:$J$23,MATCH(LARGE(Comparativo!$R$6:$R$23,A25),Comparativo!$R$6:$R$23,0)),"")</f>
        <v/>
      </c>
      <c r="F25" s="28">
        <f>IFERROR(-IFERROR(INDEX(Comparativo!$K$6:$K$23,MATCH(LARGE(Comparativo!$R$6:$R$23,A25),Comparativo!$R$6:$R$23,0)),""),"")</f>
        <v/>
      </c>
      <c r="G25" s="29">
        <f>IFERROR(F25/D25,"")</f>
        <v/>
      </c>
    </row>
    <row r="28" ht="22" customHeight="1">
      <c r="A28" s="30" t="inlineStr">
        <is>
          <t>MAIORES DESVIOS DO ACUMULADO (top 5 acima do orçado)</t>
        </is>
      </c>
    </row>
    <row r="29" ht="30" customHeight="1">
      <c r="A29" s="6" t="inlineStr">
        <is>
          <t>#</t>
        </is>
      </c>
      <c r="B29" s="6" t="inlineStr">
        <is>
          <t>Item</t>
        </is>
      </c>
      <c r="C29" s="6" t="inlineStr">
        <is>
          <t>Departamento</t>
        </is>
      </c>
      <c r="D29" s="6" t="inlineStr">
        <is>
          <t>Planejado acum.</t>
        </is>
      </c>
      <c r="E29" s="6" t="inlineStr">
        <is>
          <t>Realizado acum.</t>
        </is>
      </c>
      <c r="F29" s="6" t="inlineStr">
        <is>
          <t>Desvio (R$)</t>
        </is>
      </c>
      <c r="G29" s="6" t="inlineStr">
        <is>
          <t>Desvio (%)</t>
        </is>
      </c>
      <c r="H29" s="6" t="inlineStr"/>
    </row>
    <row r="30">
      <c r="A30" s="25" t="n">
        <v>1</v>
      </c>
      <c r="B30" s="26">
        <f>IFERROR(INDEX(Comparativo!$D$6:$D$23,MATCH(LARGE(Comparativo!$O$6:$O$23,A30),Comparativo!$O$6:$O$23,0)),"")</f>
        <v/>
      </c>
      <c r="C30" s="26">
        <f>IFERROR(INDEX(Comparativo!$B$6:$B$23,MATCH(LARGE(Comparativo!$O$6:$O$23,A30),Comparativo!$O$6:$O$23,0)),"")</f>
        <v/>
      </c>
      <c r="D30" s="27">
        <f>IFERROR(INDEX(Comparativo!$I$6:$I$23,MATCH(LARGE(Comparativo!$O$6:$O$23,A30),Comparativo!$O$6:$O$23,0)),"")</f>
        <v/>
      </c>
      <c r="E30" s="27">
        <f>IFERROR(INDEX(Comparativo!$J$6:$J$23,MATCH(LARGE(Comparativo!$O$6:$O$23,A30),Comparativo!$O$6:$O$23,0)),"")</f>
        <v/>
      </c>
      <c r="F30" s="27">
        <f>IFERROR(INDEX(Comparativo!$K$6:$K$23,MATCH(LARGE(Comparativo!$O$6:$O$23,A30),Comparativo!$O$6:$O$23,0)),"")</f>
        <v/>
      </c>
      <c r="G30" s="29">
        <f>IFERROR(F30/D30,"")</f>
        <v/>
      </c>
    </row>
    <row r="31">
      <c r="A31" s="25" t="n">
        <v>2</v>
      </c>
      <c r="B31" s="26">
        <f>IFERROR(INDEX(Comparativo!$D$6:$D$23,MATCH(LARGE(Comparativo!$O$6:$O$23,A31),Comparativo!$O$6:$O$23,0)),"")</f>
        <v/>
      </c>
      <c r="C31" s="26">
        <f>IFERROR(INDEX(Comparativo!$B$6:$B$23,MATCH(LARGE(Comparativo!$O$6:$O$23,A31),Comparativo!$O$6:$O$23,0)),"")</f>
        <v/>
      </c>
      <c r="D31" s="27">
        <f>IFERROR(INDEX(Comparativo!$I$6:$I$23,MATCH(LARGE(Comparativo!$O$6:$O$23,A31),Comparativo!$O$6:$O$23,0)),"")</f>
        <v/>
      </c>
      <c r="E31" s="27">
        <f>IFERROR(INDEX(Comparativo!$J$6:$J$23,MATCH(LARGE(Comparativo!$O$6:$O$23,A31),Comparativo!$O$6:$O$23,0)),"")</f>
        <v/>
      </c>
      <c r="F31" s="27">
        <f>IFERROR(INDEX(Comparativo!$K$6:$K$23,MATCH(LARGE(Comparativo!$O$6:$O$23,A31),Comparativo!$O$6:$O$23,0)),"")</f>
        <v/>
      </c>
      <c r="G31" s="29">
        <f>IFERROR(F31/D31,"")</f>
        <v/>
      </c>
    </row>
    <row r="32">
      <c r="A32" s="25" t="n">
        <v>3</v>
      </c>
      <c r="B32" s="26">
        <f>IFERROR(INDEX(Comparativo!$D$6:$D$23,MATCH(LARGE(Comparativo!$O$6:$O$23,A32),Comparativo!$O$6:$O$23,0)),"")</f>
        <v/>
      </c>
      <c r="C32" s="26">
        <f>IFERROR(INDEX(Comparativo!$B$6:$B$23,MATCH(LARGE(Comparativo!$O$6:$O$23,A32),Comparativo!$O$6:$O$23,0)),"")</f>
        <v/>
      </c>
      <c r="D32" s="27">
        <f>IFERROR(INDEX(Comparativo!$I$6:$I$23,MATCH(LARGE(Comparativo!$O$6:$O$23,A32),Comparativo!$O$6:$O$23,0)),"")</f>
        <v/>
      </c>
      <c r="E32" s="27">
        <f>IFERROR(INDEX(Comparativo!$J$6:$J$23,MATCH(LARGE(Comparativo!$O$6:$O$23,A32),Comparativo!$O$6:$O$23,0)),"")</f>
        <v/>
      </c>
      <c r="F32" s="27">
        <f>IFERROR(INDEX(Comparativo!$K$6:$K$23,MATCH(LARGE(Comparativo!$O$6:$O$23,A32),Comparativo!$O$6:$O$23,0)),"")</f>
        <v/>
      </c>
      <c r="G32" s="29">
        <f>IFERROR(F32/D32,"")</f>
        <v/>
      </c>
    </row>
    <row r="33">
      <c r="A33" s="25" t="n">
        <v>4</v>
      </c>
      <c r="B33" s="26">
        <f>IFERROR(INDEX(Comparativo!$D$6:$D$23,MATCH(LARGE(Comparativo!$O$6:$O$23,A33),Comparativo!$O$6:$O$23,0)),"")</f>
        <v/>
      </c>
      <c r="C33" s="26">
        <f>IFERROR(INDEX(Comparativo!$B$6:$B$23,MATCH(LARGE(Comparativo!$O$6:$O$23,A33),Comparativo!$O$6:$O$23,0)),"")</f>
        <v/>
      </c>
      <c r="D33" s="27">
        <f>IFERROR(INDEX(Comparativo!$I$6:$I$23,MATCH(LARGE(Comparativo!$O$6:$O$23,A33),Comparativo!$O$6:$O$23,0)),"")</f>
        <v/>
      </c>
      <c r="E33" s="27">
        <f>IFERROR(INDEX(Comparativo!$J$6:$J$23,MATCH(LARGE(Comparativo!$O$6:$O$23,A33),Comparativo!$O$6:$O$23,0)),"")</f>
        <v/>
      </c>
      <c r="F33" s="27">
        <f>IFERROR(INDEX(Comparativo!$K$6:$K$23,MATCH(LARGE(Comparativo!$O$6:$O$23,A33),Comparativo!$O$6:$O$23,0)),"")</f>
        <v/>
      </c>
      <c r="G33" s="29">
        <f>IFERROR(F33/D33,"")</f>
        <v/>
      </c>
    </row>
    <row r="34">
      <c r="A34" s="25" t="n">
        <v>5</v>
      </c>
      <c r="B34" s="26">
        <f>IFERROR(INDEX(Comparativo!$D$6:$D$23,MATCH(LARGE(Comparativo!$O$6:$O$23,A34),Comparativo!$O$6:$O$23,0)),"")</f>
        <v/>
      </c>
      <c r="C34" s="26">
        <f>IFERROR(INDEX(Comparativo!$B$6:$B$23,MATCH(LARGE(Comparativo!$O$6:$O$23,A34),Comparativo!$O$6:$O$23,0)),"")</f>
        <v/>
      </c>
      <c r="D34" s="27">
        <f>IFERROR(INDEX(Comparativo!$I$6:$I$23,MATCH(LARGE(Comparativo!$O$6:$O$23,A34),Comparativo!$O$6:$O$23,0)),"")</f>
        <v/>
      </c>
      <c r="E34" s="27">
        <f>IFERROR(INDEX(Comparativo!$J$6:$J$23,MATCH(LARGE(Comparativo!$O$6:$O$23,A34),Comparativo!$O$6:$O$23,0)),"")</f>
        <v/>
      </c>
      <c r="F34" s="27">
        <f>IFERROR(INDEX(Comparativo!$K$6:$K$23,MATCH(LARGE(Comparativo!$O$6:$O$23,A34),Comparativo!$O$6:$O$23,0)),"")</f>
        <v/>
      </c>
      <c r="G34" s="29">
        <f>IFERROR(F34/D34,"")</f>
        <v/>
      </c>
    </row>
  </sheetData>
  <mergeCells count="16">
    <mergeCell ref="A16:B16"/>
    <mergeCell ref="A2:I2"/>
    <mergeCell ref="A11:I11"/>
    <mergeCell ref="A15:B15"/>
    <mergeCell ref="D13:I13"/>
    <mergeCell ref="D14:I14"/>
    <mergeCell ref="D15:I15"/>
    <mergeCell ref="A19:I19"/>
    <mergeCell ref="A1:I1"/>
    <mergeCell ref="A17:I17"/>
    <mergeCell ref="A13:B13"/>
    <mergeCell ref="A14:B14"/>
    <mergeCell ref="D12:I12"/>
    <mergeCell ref="A28:H28"/>
    <mergeCell ref="D16:I16"/>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1" customWidth="1" min="3" max="3"/>
    <col width="36" customWidth="1" min="4" max="4"/>
    <col width="26" customWidth="1" min="5" max="5"/>
    <col width="15" customWidth="1" min="6" max="6"/>
    <col width="15" customWidth="1" min="7" max="7"/>
    <col width="16" customWidth="1" min="8" max="8"/>
    <col width="15" customWidth="1" min="9" max="9"/>
    <col width="15" customWidth="1" min="10" max="10"/>
    <col width="16" customWidth="1" min="11" max="11"/>
    <col width="14" customWidth="1" min="12" max="12"/>
    <col width="12" customWidth="1" min="13" max="13"/>
    <col width="17" customWidth="1" min="14" max="14"/>
    <col hidden="1" width="10" customWidth="1" min="15" max="15"/>
    <col hidden="1" width="13" customWidth="1" min="16" max="16"/>
    <col hidden="1" width="13" customWidth="1" min="17" max="17"/>
    <col hidden="1" width="13" customWidth="1" min="18" max="18"/>
    <col hidden="1" width="13" customWidth="1" min="19" max="19"/>
  </cols>
  <sheetData>
    <row r="1" ht="30" customHeight="1">
      <c r="A1" s="1" t="inlineStr">
        <is>
          <t>PLANEJADO x REALIZADO  —  linha a linha</t>
        </is>
      </c>
    </row>
    <row r="2" ht="18" customHeight="1">
      <c r="A2" s="2" t="inlineStr">
        <is>
          <t>Escolha o mês de referência em B3. As colunas 'no mês' mostram só aquele mês; as colunas 'acumulado' somam de maio até o mês escolhido. Desvio positivo = gastou ACIMA do orçado.</t>
        </is>
      </c>
    </row>
    <row r="3">
      <c r="A3" s="3" t="inlineStr">
        <is>
          <t>Mês de referência:</t>
        </is>
      </c>
      <c r="B3" s="31" t="inlineStr">
        <is>
          <t>Jun/26</t>
        </is>
      </c>
      <c r="C3" s="32" t="inlineStr">
        <is>
          <t>Mês nº:</t>
        </is>
      </c>
      <c r="D3" s="33">
        <f>MATCH($B$3,Planejado!$H$4:$S$4,0)</f>
        <v/>
      </c>
    </row>
    <row r="5" ht="30" customHeight="1">
      <c r="A5" s="6" t="inlineStr">
        <is>
          <t>ID</t>
        </is>
      </c>
      <c r="B5" s="6" t="inlineStr">
        <is>
          <t>Departamento</t>
        </is>
      </c>
      <c r="C5" s="6" t="inlineStr">
        <is>
          <t>Bloco</t>
        </is>
      </c>
      <c r="D5" s="6" t="inlineStr">
        <is>
          <t>Descrição</t>
        </is>
      </c>
      <c r="E5" s="6" t="inlineStr">
        <is>
          <t>Plano de Contas</t>
        </is>
      </c>
      <c r="F5" s="6" t="inlineStr">
        <is>
          <t>Planejado no mês</t>
        </is>
      </c>
      <c r="G5" s="6" t="inlineStr">
        <is>
          <t>Realizado no mês</t>
        </is>
      </c>
      <c r="H5" s="6" t="inlineStr">
        <is>
          <t>Desvio no mês (R$)</t>
        </is>
      </c>
      <c r="I5" s="6" t="inlineStr">
        <is>
          <t>Planejado acum.</t>
        </is>
      </c>
      <c r="J5" s="6" t="inlineStr">
        <is>
          <t>Realizado acum.</t>
        </is>
      </c>
      <c r="K5" s="6" t="inlineStr">
        <is>
          <t>Desvio acum. (R$)</t>
        </is>
      </c>
      <c r="L5" s="6" t="inlineStr">
        <is>
          <t>Desvio acum. (%)</t>
        </is>
      </c>
      <c r="M5" s="6" t="inlineStr">
        <is>
          <t>% Executado</t>
        </is>
      </c>
      <c r="N5" s="6" t="inlineStr">
        <is>
          <t>Situação</t>
        </is>
      </c>
      <c r="O5" s="34" t="inlineStr">
        <is>
          <t>(aux ranking)</t>
        </is>
      </c>
      <c r="P5" s="34" t="inlineStr">
        <is>
          <t>(aux meses lançados)</t>
        </is>
      </c>
      <c r="Q5" s="34" t="inlineStr">
        <is>
          <t>(aux desvio comparável)</t>
        </is>
      </c>
      <c r="R5" s="34" t="inlineStr">
        <is>
          <t>(aux ranking economia)</t>
        </is>
      </c>
      <c r="S5" s="34" t="inlineStr">
        <is>
          <t>(aux planejado comparável)</t>
        </is>
      </c>
    </row>
    <row r="6" ht="24" customHeight="1">
      <c r="A6" s="35">
        <f>Planejado!A5</f>
        <v/>
      </c>
      <c r="B6" s="35">
        <f>Planejado!B5</f>
        <v/>
      </c>
      <c r="C6" s="35">
        <f>Planejado!C5</f>
        <v/>
      </c>
      <c r="D6" s="36">
        <f>Planejado!D5</f>
        <v/>
      </c>
      <c r="E6" s="35">
        <f>Planejado!G5</f>
        <v/>
      </c>
      <c r="F6" s="37">
        <f>INDEX(Planejado!$H5:$S5,$D$3)</f>
        <v/>
      </c>
      <c r="G6" s="37">
        <f>INDEX(Realizado!$H5:$S5,$D$3)</f>
        <v/>
      </c>
      <c r="H6" s="37">
        <f>G6-F6</f>
        <v/>
      </c>
      <c r="I6" s="37">
        <f>SUMPRODUCT((COLUMN(Planejado!$H$4:$S$4)-COLUMN(Planejado!$H$4)+1&lt;=$D$3)*Planejado!$H5:$S5)</f>
        <v/>
      </c>
      <c r="J6" s="37">
        <f>SUMPRODUCT((COLUMN(Realizado!$H$4:$S$4)-COLUMN(Realizado!$H$4)+1&lt;=$D$3)*Realizado!$H5:$S5)</f>
        <v/>
      </c>
      <c r="K6" s="37">
        <f>J6-I6</f>
        <v/>
      </c>
      <c r="L6" s="38">
        <f>IFERROR(K6/I6,"")</f>
        <v/>
      </c>
      <c r="M6" s="38">
        <f>IFERROR(J6/I6,"")</f>
        <v/>
      </c>
      <c r="N6" s="39">
        <f>IF(P6=0,"Sem lançamento",IF(AND(I6=0,J6=0),"—",IF(I6=0,"Não orçado",IF(K6&gt;0.05*I6,"Acima do orçado",IF(K6&lt;-0.05*I6,"Abaixo do orçado","Dentro do orçado")))))</f>
        <v/>
      </c>
      <c r="O6" s="34">
        <f>IF(K6&gt;1,K6+ROW()/1000000,"")</f>
        <v/>
      </c>
      <c r="P6" s="40">
        <f>SUMPRODUCT((COLUMN(Realizado!$H$4:$S$4)-COLUMN(Realizado!$H$4)+1&lt;=$D$3)*(Realizado!$H5:$S5&lt;&gt;""))</f>
        <v/>
      </c>
      <c r="Q6" s="41">
        <f>IF(P6=0,"",K6)</f>
        <v/>
      </c>
      <c r="R6" s="41">
        <f>IF(AND(Q6&lt;&gt;"",Q6&lt;-1),-Q6+ROW()/1000000,"")</f>
        <v/>
      </c>
      <c r="S6" s="41">
        <f>IF(Q6="","",I6)</f>
        <v/>
      </c>
    </row>
    <row r="7" ht="24" customHeight="1">
      <c r="A7" s="35">
        <f>Planejado!A6</f>
        <v/>
      </c>
      <c r="B7" s="35">
        <f>Planejado!B6</f>
        <v/>
      </c>
      <c r="C7" s="35">
        <f>Planejado!C6</f>
        <v/>
      </c>
      <c r="D7" s="36">
        <f>Planejado!D6</f>
        <v/>
      </c>
      <c r="E7" s="35">
        <f>Planejado!G6</f>
        <v/>
      </c>
      <c r="F7" s="37">
        <f>INDEX(Planejado!$H6:$S6,$D$3)</f>
        <v/>
      </c>
      <c r="G7" s="37">
        <f>INDEX(Realizado!$H6:$S6,$D$3)</f>
        <v/>
      </c>
      <c r="H7" s="37">
        <f>G7-F7</f>
        <v/>
      </c>
      <c r="I7" s="37">
        <f>SUMPRODUCT((COLUMN(Planejado!$H$4:$S$4)-COLUMN(Planejado!$H$4)+1&lt;=$D$3)*Planejado!$H6:$S6)</f>
        <v/>
      </c>
      <c r="J7" s="37">
        <f>SUMPRODUCT((COLUMN(Realizado!$H$4:$S$4)-COLUMN(Realizado!$H$4)+1&lt;=$D$3)*Realizado!$H6:$S6)</f>
        <v/>
      </c>
      <c r="K7" s="37">
        <f>J7-I7</f>
        <v/>
      </c>
      <c r="L7" s="38">
        <f>IFERROR(K7/I7,"")</f>
        <v/>
      </c>
      <c r="M7" s="38">
        <f>IFERROR(J7/I7,"")</f>
        <v/>
      </c>
      <c r="N7" s="39">
        <f>IF(P7=0,"Sem lançamento",IF(AND(I7=0,J7=0),"—",IF(I7=0,"Não orçado",IF(K7&gt;0.05*I7,"Acima do orçado",IF(K7&lt;-0.05*I7,"Abaixo do orçado","Dentro do orçado")))))</f>
        <v/>
      </c>
      <c r="O7" s="34">
        <f>IF(K7&gt;1,K7+ROW()/1000000,"")</f>
        <v/>
      </c>
      <c r="P7" s="40">
        <f>SUMPRODUCT((COLUMN(Realizado!$H$4:$S$4)-COLUMN(Realizado!$H$4)+1&lt;=$D$3)*(Realizado!$H6:$S6&lt;&gt;""))</f>
        <v/>
      </c>
      <c r="Q7" s="41">
        <f>IF(P7=0,"",K7)</f>
        <v/>
      </c>
      <c r="R7" s="41">
        <f>IF(AND(Q7&lt;&gt;"",Q7&lt;-1),-Q7+ROW()/1000000,"")</f>
        <v/>
      </c>
      <c r="S7" s="41">
        <f>IF(Q7="","",I7)</f>
        <v/>
      </c>
    </row>
    <row r="8" ht="24" customHeight="1">
      <c r="A8" s="35">
        <f>Planejado!A7</f>
        <v/>
      </c>
      <c r="B8" s="35">
        <f>Planejado!B7</f>
        <v/>
      </c>
      <c r="C8" s="35">
        <f>Planejado!C7</f>
        <v/>
      </c>
      <c r="D8" s="36">
        <f>Planejado!D7</f>
        <v/>
      </c>
      <c r="E8" s="35">
        <f>Planejado!G7</f>
        <v/>
      </c>
      <c r="F8" s="37">
        <f>INDEX(Planejado!$H7:$S7,$D$3)</f>
        <v/>
      </c>
      <c r="G8" s="37">
        <f>INDEX(Realizado!$H7:$S7,$D$3)</f>
        <v/>
      </c>
      <c r="H8" s="37">
        <f>G8-F8</f>
        <v/>
      </c>
      <c r="I8" s="37">
        <f>SUMPRODUCT((COLUMN(Planejado!$H$4:$S$4)-COLUMN(Planejado!$H$4)+1&lt;=$D$3)*Planejado!$H7:$S7)</f>
        <v/>
      </c>
      <c r="J8" s="37">
        <f>SUMPRODUCT((COLUMN(Realizado!$H$4:$S$4)-COLUMN(Realizado!$H$4)+1&lt;=$D$3)*Realizado!$H7:$S7)</f>
        <v/>
      </c>
      <c r="K8" s="37">
        <f>J8-I8</f>
        <v/>
      </c>
      <c r="L8" s="38">
        <f>IFERROR(K8/I8,"")</f>
        <v/>
      </c>
      <c r="M8" s="38">
        <f>IFERROR(J8/I8,"")</f>
        <v/>
      </c>
      <c r="N8" s="39">
        <f>IF(P8=0,"Sem lançamento",IF(AND(I8=0,J8=0),"—",IF(I8=0,"Não orçado",IF(K8&gt;0.05*I8,"Acima do orçado",IF(K8&lt;-0.05*I8,"Abaixo do orçado","Dentro do orçado")))))</f>
        <v/>
      </c>
      <c r="O8" s="34">
        <f>IF(K8&gt;1,K8+ROW()/1000000,"")</f>
        <v/>
      </c>
      <c r="P8" s="40">
        <f>SUMPRODUCT((COLUMN(Realizado!$H$4:$S$4)-COLUMN(Realizado!$H$4)+1&lt;=$D$3)*(Realizado!$H7:$S7&lt;&gt;""))</f>
        <v/>
      </c>
      <c r="Q8" s="41">
        <f>IF(P8=0,"",K8)</f>
        <v/>
      </c>
      <c r="R8" s="41">
        <f>IF(AND(Q8&lt;&gt;"",Q8&lt;-1),-Q8+ROW()/1000000,"")</f>
        <v/>
      </c>
      <c r="S8" s="41">
        <f>IF(Q8="","",I8)</f>
        <v/>
      </c>
    </row>
    <row r="9" ht="24" customHeight="1">
      <c r="A9" s="35">
        <f>Planejado!A8</f>
        <v/>
      </c>
      <c r="B9" s="35">
        <f>Planejado!B8</f>
        <v/>
      </c>
      <c r="C9" s="35">
        <f>Planejado!C8</f>
        <v/>
      </c>
      <c r="D9" s="36">
        <f>Planejado!D8</f>
        <v/>
      </c>
      <c r="E9" s="35">
        <f>Planejado!G8</f>
        <v/>
      </c>
      <c r="F9" s="37">
        <f>INDEX(Planejado!$H8:$S8,$D$3)</f>
        <v/>
      </c>
      <c r="G9" s="37">
        <f>INDEX(Realizado!$H8:$S8,$D$3)</f>
        <v/>
      </c>
      <c r="H9" s="37">
        <f>G9-F9</f>
        <v/>
      </c>
      <c r="I9" s="37">
        <f>SUMPRODUCT((COLUMN(Planejado!$H$4:$S$4)-COLUMN(Planejado!$H$4)+1&lt;=$D$3)*Planejado!$H8:$S8)</f>
        <v/>
      </c>
      <c r="J9" s="37">
        <f>SUMPRODUCT((COLUMN(Realizado!$H$4:$S$4)-COLUMN(Realizado!$H$4)+1&lt;=$D$3)*Realizado!$H8:$S8)</f>
        <v/>
      </c>
      <c r="K9" s="37">
        <f>J9-I9</f>
        <v/>
      </c>
      <c r="L9" s="38">
        <f>IFERROR(K9/I9,"")</f>
        <v/>
      </c>
      <c r="M9" s="38">
        <f>IFERROR(J9/I9,"")</f>
        <v/>
      </c>
      <c r="N9" s="39">
        <f>IF(P9=0,"Sem lançamento",IF(AND(I9=0,J9=0),"—",IF(I9=0,"Não orçado",IF(K9&gt;0.05*I9,"Acima do orçado",IF(K9&lt;-0.05*I9,"Abaixo do orçado","Dentro do orçado")))))</f>
        <v/>
      </c>
      <c r="O9" s="34">
        <f>IF(K9&gt;1,K9+ROW()/1000000,"")</f>
        <v/>
      </c>
      <c r="P9" s="40">
        <f>SUMPRODUCT((COLUMN(Realizado!$H$4:$S$4)-COLUMN(Realizado!$H$4)+1&lt;=$D$3)*(Realizado!$H8:$S8&lt;&gt;""))</f>
        <v/>
      </c>
      <c r="Q9" s="41">
        <f>IF(P9=0,"",K9)</f>
        <v/>
      </c>
      <c r="R9" s="41">
        <f>IF(AND(Q9&lt;&gt;"",Q9&lt;-1),-Q9+ROW()/1000000,"")</f>
        <v/>
      </c>
      <c r="S9" s="41">
        <f>IF(Q9="","",I9)</f>
        <v/>
      </c>
    </row>
    <row r="10" ht="24" customHeight="1">
      <c r="A10" s="35">
        <f>Planejado!A9</f>
        <v/>
      </c>
      <c r="B10" s="35">
        <f>Planejado!B9</f>
        <v/>
      </c>
      <c r="C10" s="35">
        <f>Planejado!C9</f>
        <v/>
      </c>
      <c r="D10" s="36">
        <f>Planejado!D9</f>
        <v/>
      </c>
      <c r="E10" s="35">
        <f>Planejado!G9</f>
        <v/>
      </c>
      <c r="F10" s="37">
        <f>INDEX(Planejado!$H9:$S9,$D$3)</f>
        <v/>
      </c>
      <c r="G10" s="37">
        <f>INDEX(Realizado!$H9:$S9,$D$3)</f>
        <v/>
      </c>
      <c r="H10" s="37">
        <f>G10-F10</f>
        <v/>
      </c>
      <c r="I10" s="37">
        <f>SUMPRODUCT((COLUMN(Planejado!$H$4:$S$4)-COLUMN(Planejado!$H$4)+1&lt;=$D$3)*Planejado!$H9:$S9)</f>
        <v/>
      </c>
      <c r="J10" s="37">
        <f>SUMPRODUCT((COLUMN(Realizado!$H$4:$S$4)-COLUMN(Realizado!$H$4)+1&lt;=$D$3)*Realizado!$H9:$S9)</f>
        <v/>
      </c>
      <c r="K10" s="37">
        <f>J10-I10</f>
        <v/>
      </c>
      <c r="L10" s="38">
        <f>IFERROR(K10/I10,"")</f>
        <v/>
      </c>
      <c r="M10" s="38">
        <f>IFERROR(J10/I10,"")</f>
        <v/>
      </c>
      <c r="N10" s="39">
        <f>IF(P10=0,"Sem lançamento",IF(AND(I10=0,J10=0),"—",IF(I10=0,"Não orçado",IF(K10&gt;0.05*I10,"Acima do orçado",IF(K10&lt;-0.05*I10,"Abaixo do orçado","Dentro do orçado")))))</f>
        <v/>
      </c>
      <c r="O10" s="34">
        <f>IF(K10&gt;1,K10+ROW()/1000000,"")</f>
        <v/>
      </c>
      <c r="P10" s="40">
        <f>SUMPRODUCT((COLUMN(Realizado!$H$4:$S$4)-COLUMN(Realizado!$H$4)+1&lt;=$D$3)*(Realizado!$H9:$S9&lt;&gt;""))</f>
        <v/>
      </c>
      <c r="Q10" s="41">
        <f>IF(P10=0,"",K10)</f>
        <v/>
      </c>
      <c r="R10" s="41">
        <f>IF(AND(Q10&lt;&gt;"",Q10&lt;-1),-Q10+ROW()/1000000,"")</f>
        <v/>
      </c>
      <c r="S10" s="41">
        <f>IF(Q10="","",I10)</f>
        <v/>
      </c>
    </row>
    <row r="11" ht="24" customHeight="1">
      <c r="A11" s="35">
        <f>Planejado!A10</f>
        <v/>
      </c>
      <c r="B11" s="35">
        <f>Planejado!B10</f>
        <v/>
      </c>
      <c r="C11" s="35">
        <f>Planejado!C10</f>
        <v/>
      </c>
      <c r="D11" s="36">
        <f>Planejado!D10</f>
        <v/>
      </c>
      <c r="E11" s="35">
        <f>Planejado!G10</f>
        <v/>
      </c>
      <c r="F11" s="37">
        <f>INDEX(Planejado!$H10:$S10,$D$3)</f>
        <v/>
      </c>
      <c r="G11" s="37">
        <f>INDEX(Realizado!$H10:$S10,$D$3)</f>
        <v/>
      </c>
      <c r="H11" s="37">
        <f>G11-F11</f>
        <v/>
      </c>
      <c r="I11" s="37">
        <f>SUMPRODUCT((COLUMN(Planejado!$H$4:$S$4)-COLUMN(Planejado!$H$4)+1&lt;=$D$3)*Planejado!$H10:$S10)</f>
        <v/>
      </c>
      <c r="J11" s="37">
        <f>SUMPRODUCT((COLUMN(Realizado!$H$4:$S$4)-COLUMN(Realizado!$H$4)+1&lt;=$D$3)*Realizado!$H10:$S10)</f>
        <v/>
      </c>
      <c r="K11" s="37">
        <f>J11-I11</f>
        <v/>
      </c>
      <c r="L11" s="38">
        <f>IFERROR(K11/I11,"")</f>
        <v/>
      </c>
      <c r="M11" s="38">
        <f>IFERROR(J11/I11,"")</f>
        <v/>
      </c>
      <c r="N11" s="39">
        <f>IF(P11=0,"Sem lançamento",IF(AND(I11=0,J11=0),"—",IF(I11=0,"Não orçado",IF(K11&gt;0.05*I11,"Acima do orçado",IF(K11&lt;-0.05*I11,"Abaixo do orçado","Dentro do orçado")))))</f>
        <v/>
      </c>
      <c r="O11" s="34">
        <f>IF(K11&gt;1,K11+ROW()/1000000,"")</f>
        <v/>
      </c>
      <c r="P11" s="40">
        <f>SUMPRODUCT((COLUMN(Realizado!$H$4:$S$4)-COLUMN(Realizado!$H$4)+1&lt;=$D$3)*(Realizado!$H10:$S10&lt;&gt;""))</f>
        <v/>
      </c>
      <c r="Q11" s="41">
        <f>IF(P11=0,"",K11)</f>
        <v/>
      </c>
      <c r="R11" s="41">
        <f>IF(AND(Q11&lt;&gt;"",Q11&lt;-1),-Q11+ROW()/1000000,"")</f>
        <v/>
      </c>
      <c r="S11" s="41">
        <f>IF(Q11="","",I11)</f>
        <v/>
      </c>
    </row>
    <row r="12" ht="24" customHeight="1">
      <c r="A12" s="35">
        <f>Planejado!A11</f>
        <v/>
      </c>
      <c r="B12" s="35">
        <f>Planejado!B11</f>
        <v/>
      </c>
      <c r="C12" s="35">
        <f>Planejado!C11</f>
        <v/>
      </c>
      <c r="D12" s="36">
        <f>Planejado!D11</f>
        <v/>
      </c>
      <c r="E12" s="35">
        <f>Planejado!G11</f>
        <v/>
      </c>
      <c r="F12" s="37">
        <f>INDEX(Planejado!$H11:$S11,$D$3)</f>
        <v/>
      </c>
      <c r="G12" s="37">
        <f>INDEX(Realizado!$H11:$S11,$D$3)</f>
        <v/>
      </c>
      <c r="H12" s="37">
        <f>G12-F12</f>
        <v/>
      </c>
      <c r="I12" s="37">
        <f>SUMPRODUCT((COLUMN(Planejado!$H$4:$S$4)-COLUMN(Planejado!$H$4)+1&lt;=$D$3)*Planejado!$H11:$S11)</f>
        <v/>
      </c>
      <c r="J12" s="37">
        <f>SUMPRODUCT((COLUMN(Realizado!$H$4:$S$4)-COLUMN(Realizado!$H$4)+1&lt;=$D$3)*Realizado!$H11:$S11)</f>
        <v/>
      </c>
      <c r="K12" s="37">
        <f>J12-I12</f>
        <v/>
      </c>
      <c r="L12" s="38">
        <f>IFERROR(K12/I12,"")</f>
        <v/>
      </c>
      <c r="M12" s="38">
        <f>IFERROR(J12/I12,"")</f>
        <v/>
      </c>
      <c r="N12" s="39">
        <f>IF(P12=0,"Sem lançamento",IF(AND(I12=0,J12=0),"—",IF(I12=0,"Não orçado",IF(K12&gt;0.05*I12,"Acima do orçado",IF(K12&lt;-0.05*I12,"Abaixo do orçado","Dentro do orçado")))))</f>
        <v/>
      </c>
      <c r="O12" s="34">
        <f>IF(K12&gt;1,K12+ROW()/1000000,"")</f>
        <v/>
      </c>
      <c r="P12" s="40">
        <f>SUMPRODUCT((COLUMN(Realizado!$H$4:$S$4)-COLUMN(Realizado!$H$4)+1&lt;=$D$3)*(Realizado!$H11:$S11&lt;&gt;""))</f>
        <v/>
      </c>
      <c r="Q12" s="41">
        <f>IF(P12=0,"",K12)</f>
        <v/>
      </c>
      <c r="R12" s="41">
        <f>IF(AND(Q12&lt;&gt;"",Q12&lt;-1),-Q12+ROW()/1000000,"")</f>
        <v/>
      </c>
      <c r="S12" s="41">
        <f>IF(Q12="","",I12)</f>
        <v/>
      </c>
    </row>
    <row r="13" ht="24" customHeight="1">
      <c r="A13" s="35">
        <f>Planejado!A12</f>
        <v/>
      </c>
      <c r="B13" s="35">
        <f>Planejado!B12</f>
        <v/>
      </c>
      <c r="C13" s="35">
        <f>Planejado!C12</f>
        <v/>
      </c>
      <c r="D13" s="36">
        <f>Planejado!D12</f>
        <v/>
      </c>
      <c r="E13" s="35">
        <f>Planejado!G12</f>
        <v/>
      </c>
      <c r="F13" s="37">
        <f>INDEX(Planejado!$H12:$S12,$D$3)</f>
        <v/>
      </c>
      <c r="G13" s="37">
        <f>INDEX(Realizado!$H12:$S12,$D$3)</f>
        <v/>
      </c>
      <c r="H13" s="37">
        <f>G13-F13</f>
        <v/>
      </c>
      <c r="I13" s="37">
        <f>SUMPRODUCT((COLUMN(Planejado!$H$4:$S$4)-COLUMN(Planejado!$H$4)+1&lt;=$D$3)*Planejado!$H12:$S12)</f>
        <v/>
      </c>
      <c r="J13" s="37">
        <f>SUMPRODUCT((COLUMN(Realizado!$H$4:$S$4)-COLUMN(Realizado!$H$4)+1&lt;=$D$3)*Realizado!$H12:$S12)</f>
        <v/>
      </c>
      <c r="K13" s="37">
        <f>J13-I13</f>
        <v/>
      </c>
      <c r="L13" s="38">
        <f>IFERROR(K13/I13,"")</f>
        <v/>
      </c>
      <c r="M13" s="38">
        <f>IFERROR(J13/I13,"")</f>
        <v/>
      </c>
      <c r="N13" s="39">
        <f>IF(P13=0,"Sem lançamento",IF(AND(I13=0,J13=0),"—",IF(I13=0,"Não orçado",IF(K13&gt;0.05*I13,"Acima do orçado",IF(K13&lt;-0.05*I13,"Abaixo do orçado","Dentro do orçado")))))</f>
        <v/>
      </c>
      <c r="O13" s="34">
        <f>IF(K13&gt;1,K13+ROW()/1000000,"")</f>
        <v/>
      </c>
      <c r="P13" s="40">
        <f>SUMPRODUCT((COLUMN(Realizado!$H$4:$S$4)-COLUMN(Realizado!$H$4)+1&lt;=$D$3)*(Realizado!$H12:$S12&lt;&gt;""))</f>
        <v/>
      </c>
      <c r="Q13" s="41">
        <f>IF(P13=0,"",K13)</f>
        <v/>
      </c>
      <c r="R13" s="41">
        <f>IF(AND(Q13&lt;&gt;"",Q13&lt;-1),-Q13+ROW()/1000000,"")</f>
        <v/>
      </c>
      <c r="S13" s="41">
        <f>IF(Q13="","",I13)</f>
        <v/>
      </c>
    </row>
    <row r="14" ht="24" customHeight="1">
      <c r="A14" s="35">
        <f>Planejado!A13</f>
        <v/>
      </c>
      <c r="B14" s="35">
        <f>Planejado!B13</f>
        <v/>
      </c>
      <c r="C14" s="35">
        <f>Planejado!C13</f>
        <v/>
      </c>
      <c r="D14" s="36">
        <f>Planejado!D13</f>
        <v/>
      </c>
      <c r="E14" s="35">
        <f>Planejado!G13</f>
        <v/>
      </c>
      <c r="F14" s="37">
        <f>INDEX(Planejado!$H13:$S13,$D$3)</f>
        <v/>
      </c>
      <c r="G14" s="37">
        <f>INDEX(Realizado!$H13:$S13,$D$3)</f>
        <v/>
      </c>
      <c r="H14" s="37">
        <f>G14-F14</f>
        <v/>
      </c>
      <c r="I14" s="37">
        <f>SUMPRODUCT((COLUMN(Planejado!$H$4:$S$4)-COLUMN(Planejado!$H$4)+1&lt;=$D$3)*Planejado!$H13:$S13)</f>
        <v/>
      </c>
      <c r="J14" s="37">
        <f>SUMPRODUCT((COLUMN(Realizado!$H$4:$S$4)-COLUMN(Realizado!$H$4)+1&lt;=$D$3)*Realizado!$H13:$S13)</f>
        <v/>
      </c>
      <c r="K14" s="37">
        <f>J14-I14</f>
        <v/>
      </c>
      <c r="L14" s="38">
        <f>IFERROR(K14/I14,"")</f>
        <v/>
      </c>
      <c r="M14" s="38">
        <f>IFERROR(J14/I14,"")</f>
        <v/>
      </c>
      <c r="N14" s="39">
        <f>IF(P14=0,"Sem lançamento",IF(AND(I14=0,J14=0),"—",IF(I14=0,"Não orçado",IF(K14&gt;0.05*I14,"Acima do orçado",IF(K14&lt;-0.05*I14,"Abaixo do orçado","Dentro do orçado")))))</f>
        <v/>
      </c>
      <c r="O14" s="34">
        <f>IF(K14&gt;1,K14+ROW()/1000000,"")</f>
        <v/>
      </c>
      <c r="P14" s="40">
        <f>SUMPRODUCT((COLUMN(Realizado!$H$4:$S$4)-COLUMN(Realizado!$H$4)+1&lt;=$D$3)*(Realizado!$H13:$S13&lt;&gt;""))</f>
        <v/>
      </c>
      <c r="Q14" s="41">
        <f>IF(P14=0,"",K14)</f>
        <v/>
      </c>
      <c r="R14" s="41">
        <f>IF(AND(Q14&lt;&gt;"",Q14&lt;-1),-Q14+ROW()/1000000,"")</f>
        <v/>
      </c>
      <c r="S14" s="41">
        <f>IF(Q14="","",I14)</f>
        <v/>
      </c>
    </row>
    <row r="15" ht="24" customHeight="1">
      <c r="A15" s="35">
        <f>Planejado!A14</f>
        <v/>
      </c>
      <c r="B15" s="35">
        <f>Planejado!B14</f>
        <v/>
      </c>
      <c r="C15" s="35">
        <f>Planejado!C14</f>
        <v/>
      </c>
      <c r="D15" s="36">
        <f>Planejado!D14</f>
        <v/>
      </c>
      <c r="E15" s="35">
        <f>Planejado!G14</f>
        <v/>
      </c>
      <c r="F15" s="37">
        <f>INDEX(Planejado!$H14:$S14,$D$3)</f>
        <v/>
      </c>
      <c r="G15" s="37">
        <f>INDEX(Realizado!$H14:$S14,$D$3)</f>
        <v/>
      </c>
      <c r="H15" s="37">
        <f>G15-F15</f>
        <v/>
      </c>
      <c r="I15" s="37">
        <f>SUMPRODUCT((COLUMN(Planejado!$H$4:$S$4)-COLUMN(Planejado!$H$4)+1&lt;=$D$3)*Planejado!$H14:$S14)</f>
        <v/>
      </c>
      <c r="J15" s="37">
        <f>SUMPRODUCT((COLUMN(Realizado!$H$4:$S$4)-COLUMN(Realizado!$H$4)+1&lt;=$D$3)*Realizado!$H14:$S14)</f>
        <v/>
      </c>
      <c r="K15" s="37">
        <f>J15-I15</f>
        <v/>
      </c>
      <c r="L15" s="38">
        <f>IFERROR(K15/I15,"")</f>
        <v/>
      </c>
      <c r="M15" s="38">
        <f>IFERROR(J15/I15,"")</f>
        <v/>
      </c>
      <c r="N15" s="39">
        <f>IF(P15=0,"Sem lançamento",IF(AND(I15=0,J15=0),"—",IF(I15=0,"Não orçado",IF(K15&gt;0.05*I15,"Acima do orçado",IF(K15&lt;-0.05*I15,"Abaixo do orçado","Dentro do orçado")))))</f>
        <v/>
      </c>
      <c r="O15" s="34">
        <f>IF(K15&gt;1,K15+ROW()/1000000,"")</f>
        <v/>
      </c>
      <c r="P15" s="40">
        <f>SUMPRODUCT((COLUMN(Realizado!$H$4:$S$4)-COLUMN(Realizado!$H$4)+1&lt;=$D$3)*(Realizado!$H14:$S14&lt;&gt;""))</f>
        <v/>
      </c>
      <c r="Q15" s="41">
        <f>IF(P15=0,"",K15)</f>
        <v/>
      </c>
      <c r="R15" s="41">
        <f>IF(AND(Q15&lt;&gt;"",Q15&lt;-1),-Q15+ROW()/1000000,"")</f>
        <v/>
      </c>
      <c r="S15" s="41">
        <f>IF(Q15="","",I15)</f>
        <v/>
      </c>
    </row>
    <row r="16" ht="24" customHeight="1">
      <c r="A16" s="35">
        <f>Planejado!A15</f>
        <v/>
      </c>
      <c r="B16" s="35">
        <f>Planejado!B15</f>
        <v/>
      </c>
      <c r="C16" s="35">
        <f>Planejado!C15</f>
        <v/>
      </c>
      <c r="D16" s="36">
        <f>Planejado!D15</f>
        <v/>
      </c>
      <c r="E16" s="35">
        <f>Planejado!G15</f>
        <v/>
      </c>
      <c r="F16" s="37">
        <f>INDEX(Planejado!$H15:$S15,$D$3)</f>
        <v/>
      </c>
      <c r="G16" s="37">
        <f>INDEX(Realizado!$H15:$S15,$D$3)</f>
        <v/>
      </c>
      <c r="H16" s="37">
        <f>G16-F16</f>
        <v/>
      </c>
      <c r="I16" s="37">
        <f>SUMPRODUCT((COLUMN(Planejado!$H$4:$S$4)-COLUMN(Planejado!$H$4)+1&lt;=$D$3)*Planejado!$H15:$S15)</f>
        <v/>
      </c>
      <c r="J16" s="37">
        <f>SUMPRODUCT((COLUMN(Realizado!$H$4:$S$4)-COLUMN(Realizado!$H$4)+1&lt;=$D$3)*Realizado!$H15:$S15)</f>
        <v/>
      </c>
      <c r="K16" s="37">
        <f>J16-I16</f>
        <v/>
      </c>
      <c r="L16" s="38">
        <f>IFERROR(K16/I16,"")</f>
        <v/>
      </c>
      <c r="M16" s="38">
        <f>IFERROR(J16/I16,"")</f>
        <v/>
      </c>
      <c r="N16" s="39">
        <f>IF(P16=0,"Sem lançamento",IF(AND(I16=0,J16=0),"—",IF(I16=0,"Não orçado",IF(K16&gt;0.05*I16,"Acima do orçado",IF(K16&lt;-0.05*I16,"Abaixo do orçado","Dentro do orçado")))))</f>
        <v/>
      </c>
      <c r="O16" s="34">
        <f>IF(K16&gt;1,K16+ROW()/1000000,"")</f>
        <v/>
      </c>
      <c r="P16" s="40">
        <f>SUMPRODUCT((COLUMN(Realizado!$H$4:$S$4)-COLUMN(Realizado!$H$4)+1&lt;=$D$3)*(Realizado!$H15:$S15&lt;&gt;""))</f>
        <v/>
      </c>
      <c r="Q16" s="41">
        <f>IF(P16=0,"",K16)</f>
        <v/>
      </c>
      <c r="R16" s="41">
        <f>IF(AND(Q16&lt;&gt;"",Q16&lt;-1),-Q16+ROW()/1000000,"")</f>
        <v/>
      </c>
      <c r="S16" s="41">
        <f>IF(Q16="","",I16)</f>
        <v/>
      </c>
    </row>
    <row r="17" ht="24" customHeight="1">
      <c r="A17" s="35">
        <f>Planejado!A16</f>
        <v/>
      </c>
      <c r="B17" s="35">
        <f>Planejado!B16</f>
        <v/>
      </c>
      <c r="C17" s="35">
        <f>Planejado!C16</f>
        <v/>
      </c>
      <c r="D17" s="36">
        <f>Planejado!D16</f>
        <v/>
      </c>
      <c r="E17" s="35">
        <f>Planejado!G16</f>
        <v/>
      </c>
      <c r="F17" s="37">
        <f>INDEX(Planejado!$H16:$S16,$D$3)</f>
        <v/>
      </c>
      <c r="G17" s="37">
        <f>INDEX(Realizado!$H16:$S16,$D$3)</f>
        <v/>
      </c>
      <c r="H17" s="37">
        <f>G17-F17</f>
        <v/>
      </c>
      <c r="I17" s="37">
        <f>SUMPRODUCT((COLUMN(Planejado!$H$4:$S$4)-COLUMN(Planejado!$H$4)+1&lt;=$D$3)*Planejado!$H16:$S16)</f>
        <v/>
      </c>
      <c r="J17" s="37">
        <f>SUMPRODUCT((COLUMN(Realizado!$H$4:$S$4)-COLUMN(Realizado!$H$4)+1&lt;=$D$3)*Realizado!$H16:$S16)</f>
        <v/>
      </c>
      <c r="K17" s="37">
        <f>J17-I17</f>
        <v/>
      </c>
      <c r="L17" s="38">
        <f>IFERROR(K17/I17,"")</f>
        <v/>
      </c>
      <c r="M17" s="38">
        <f>IFERROR(J17/I17,"")</f>
        <v/>
      </c>
      <c r="N17" s="39">
        <f>IF(P17=0,"Sem lançamento",IF(AND(I17=0,J17=0),"—",IF(I17=0,"Não orçado",IF(K17&gt;0.05*I17,"Acima do orçado",IF(K17&lt;-0.05*I17,"Abaixo do orçado","Dentro do orçado")))))</f>
        <v/>
      </c>
      <c r="O17" s="34">
        <f>IF(K17&gt;1,K17+ROW()/1000000,"")</f>
        <v/>
      </c>
      <c r="P17" s="40">
        <f>SUMPRODUCT((COLUMN(Realizado!$H$4:$S$4)-COLUMN(Realizado!$H$4)+1&lt;=$D$3)*(Realizado!$H16:$S16&lt;&gt;""))</f>
        <v/>
      </c>
      <c r="Q17" s="41">
        <f>IF(P17=0,"",K17)</f>
        <v/>
      </c>
      <c r="R17" s="41">
        <f>IF(AND(Q17&lt;&gt;"",Q17&lt;-1),-Q17+ROW()/1000000,"")</f>
        <v/>
      </c>
      <c r="S17" s="41">
        <f>IF(Q17="","",I17)</f>
        <v/>
      </c>
    </row>
    <row r="18" ht="24" customHeight="1">
      <c r="A18" s="35">
        <f>Planejado!A17</f>
        <v/>
      </c>
      <c r="B18" s="35">
        <f>Planejado!B17</f>
        <v/>
      </c>
      <c r="C18" s="35">
        <f>Planejado!C17</f>
        <v/>
      </c>
      <c r="D18" s="36">
        <f>Planejado!D17</f>
        <v/>
      </c>
      <c r="E18" s="35">
        <f>Planejado!G17</f>
        <v/>
      </c>
      <c r="F18" s="37">
        <f>INDEX(Planejado!$H17:$S17,$D$3)</f>
        <v/>
      </c>
      <c r="G18" s="37">
        <f>INDEX(Realizado!$H17:$S17,$D$3)</f>
        <v/>
      </c>
      <c r="H18" s="37">
        <f>G18-F18</f>
        <v/>
      </c>
      <c r="I18" s="37">
        <f>SUMPRODUCT((COLUMN(Planejado!$H$4:$S$4)-COLUMN(Planejado!$H$4)+1&lt;=$D$3)*Planejado!$H17:$S17)</f>
        <v/>
      </c>
      <c r="J18" s="37">
        <f>SUMPRODUCT((COLUMN(Realizado!$H$4:$S$4)-COLUMN(Realizado!$H$4)+1&lt;=$D$3)*Realizado!$H17:$S17)</f>
        <v/>
      </c>
      <c r="K18" s="37">
        <f>J18-I18</f>
        <v/>
      </c>
      <c r="L18" s="38">
        <f>IFERROR(K18/I18,"")</f>
        <v/>
      </c>
      <c r="M18" s="38">
        <f>IFERROR(J18/I18,"")</f>
        <v/>
      </c>
      <c r="N18" s="39">
        <f>IF(P18=0,"Sem lançamento",IF(AND(I18=0,J18=0),"—",IF(I18=0,"Não orçado",IF(K18&gt;0.05*I18,"Acima do orçado",IF(K18&lt;-0.05*I18,"Abaixo do orçado","Dentro do orçado")))))</f>
        <v/>
      </c>
      <c r="O18" s="34">
        <f>IF(K18&gt;1,K18+ROW()/1000000,"")</f>
        <v/>
      </c>
      <c r="P18" s="40">
        <f>SUMPRODUCT((COLUMN(Realizado!$H$4:$S$4)-COLUMN(Realizado!$H$4)+1&lt;=$D$3)*(Realizado!$H17:$S17&lt;&gt;""))</f>
        <v/>
      </c>
      <c r="Q18" s="41">
        <f>IF(P18=0,"",K18)</f>
        <v/>
      </c>
      <c r="R18" s="41">
        <f>IF(AND(Q18&lt;&gt;"",Q18&lt;-1),-Q18+ROW()/1000000,"")</f>
        <v/>
      </c>
      <c r="S18" s="41">
        <f>IF(Q18="","",I18)</f>
        <v/>
      </c>
    </row>
    <row r="19" ht="24" customHeight="1">
      <c r="A19" s="35">
        <f>Planejado!A18</f>
        <v/>
      </c>
      <c r="B19" s="35">
        <f>Planejado!B18</f>
        <v/>
      </c>
      <c r="C19" s="35">
        <f>Planejado!C18</f>
        <v/>
      </c>
      <c r="D19" s="36">
        <f>Planejado!D18</f>
        <v/>
      </c>
      <c r="E19" s="35">
        <f>Planejado!G18</f>
        <v/>
      </c>
      <c r="F19" s="37">
        <f>INDEX(Planejado!$H18:$S18,$D$3)</f>
        <v/>
      </c>
      <c r="G19" s="37">
        <f>INDEX(Realizado!$H18:$S18,$D$3)</f>
        <v/>
      </c>
      <c r="H19" s="37">
        <f>G19-F19</f>
        <v/>
      </c>
      <c r="I19" s="37">
        <f>SUMPRODUCT((COLUMN(Planejado!$H$4:$S$4)-COLUMN(Planejado!$H$4)+1&lt;=$D$3)*Planejado!$H18:$S18)</f>
        <v/>
      </c>
      <c r="J19" s="37">
        <f>SUMPRODUCT((COLUMN(Realizado!$H$4:$S$4)-COLUMN(Realizado!$H$4)+1&lt;=$D$3)*Realizado!$H18:$S18)</f>
        <v/>
      </c>
      <c r="K19" s="37">
        <f>J19-I19</f>
        <v/>
      </c>
      <c r="L19" s="38">
        <f>IFERROR(K19/I19,"")</f>
        <v/>
      </c>
      <c r="M19" s="38">
        <f>IFERROR(J19/I19,"")</f>
        <v/>
      </c>
      <c r="N19" s="39">
        <f>IF(P19=0,"Sem lançamento",IF(AND(I19=0,J19=0),"—",IF(I19=0,"Não orçado",IF(K19&gt;0.05*I19,"Acima do orçado",IF(K19&lt;-0.05*I19,"Abaixo do orçado","Dentro do orçado")))))</f>
        <v/>
      </c>
      <c r="O19" s="34">
        <f>IF(K19&gt;1,K19+ROW()/1000000,"")</f>
        <v/>
      </c>
      <c r="P19" s="40">
        <f>SUMPRODUCT((COLUMN(Realizado!$H$4:$S$4)-COLUMN(Realizado!$H$4)+1&lt;=$D$3)*(Realizado!$H18:$S18&lt;&gt;""))</f>
        <v/>
      </c>
      <c r="Q19" s="41">
        <f>IF(P19=0,"",K19)</f>
        <v/>
      </c>
      <c r="R19" s="41">
        <f>IF(AND(Q19&lt;&gt;"",Q19&lt;-1),-Q19+ROW()/1000000,"")</f>
        <v/>
      </c>
      <c r="S19" s="41">
        <f>IF(Q19="","",I19)</f>
        <v/>
      </c>
    </row>
    <row r="20" ht="24" customHeight="1">
      <c r="A20" s="35">
        <f>Planejado!A19</f>
        <v/>
      </c>
      <c r="B20" s="35">
        <f>Planejado!B19</f>
        <v/>
      </c>
      <c r="C20" s="35">
        <f>Planejado!C19</f>
        <v/>
      </c>
      <c r="D20" s="36">
        <f>Planejado!D19</f>
        <v/>
      </c>
      <c r="E20" s="35">
        <f>Planejado!G19</f>
        <v/>
      </c>
      <c r="F20" s="37">
        <f>INDEX(Planejado!$H19:$S19,$D$3)</f>
        <v/>
      </c>
      <c r="G20" s="37">
        <f>INDEX(Realizado!$H19:$S19,$D$3)</f>
        <v/>
      </c>
      <c r="H20" s="37">
        <f>G20-F20</f>
        <v/>
      </c>
      <c r="I20" s="37">
        <f>SUMPRODUCT((COLUMN(Planejado!$H$4:$S$4)-COLUMN(Planejado!$H$4)+1&lt;=$D$3)*Planejado!$H19:$S19)</f>
        <v/>
      </c>
      <c r="J20" s="37">
        <f>SUMPRODUCT((COLUMN(Realizado!$H$4:$S$4)-COLUMN(Realizado!$H$4)+1&lt;=$D$3)*Realizado!$H19:$S19)</f>
        <v/>
      </c>
      <c r="K20" s="37">
        <f>J20-I20</f>
        <v/>
      </c>
      <c r="L20" s="38">
        <f>IFERROR(K20/I20,"")</f>
        <v/>
      </c>
      <c r="M20" s="38">
        <f>IFERROR(J20/I20,"")</f>
        <v/>
      </c>
      <c r="N20" s="39">
        <f>IF(P20=0,"Sem lançamento",IF(AND(I20=0,J20=0),"—",IF(I20=0,"Não orçado",IF(K20&gt;0.05*I20,"Acima do orçado",IF(K20&lt;-0.05*I20,"Abaixo do orçado","Dentro do orçado")))))</f>
        <v/>
      </c>
      <c r="O20" s="34">
        <f>IF(K20&gt;1,K20+ROW()/1000000,"")</f>
        <v/>
      </c>
      <c r="P20" s="40">
        <f>SUMPRODUCT((COLUMN(Realizado!$H$4:$S$4)-COLUMN(Realizado!$H$4)+1&lt;=$D$3)*(Realizado!$H19:$S19&lt;&gt;""))</f>
        <v/>
      </c>
      <c r="Q20" s="41">
        <f>IF(P20=0,"",K20)</f>
        <v/>
      </c>
      <c r="R20" s="41">
        <f>IF(AND(Q20&lt;&gt;"",Q20&lt;-1),-Q20+ROW()/1000000,"")</f>
        <v/>
      </c>
      <c r="S20" s="41">
        <f>IF(Q20="","",I20)</f>
        <v/>
      </c>
    </row>
    <row r="21" ht="24" customHeight="1">
      <c r="A21" s="35">
        <f>Planejado!A20</f>
        <v/>
      </c>
      <c r="B21" s="35">
        <f>Planejado!B20</f>
        <v/>
      </c>
      <c r="C21" s="35">
        <f>Planejado!C20</f>
        <v/>
      </c>
      <c r="D21" s="36">
        <f>Planejado!D20</f>
        <v/>
      </c>
      <c r="E21" s="35">
        <f>Planejado!G20</f>
        <v/>
      </c>
      <c r="F21" s="37">
        <f>INDEX(Planejado!$H20:$S20,$D$3)</f>
        <v/>
      </c>
      <c r="G21" s="37">
        <f>INDEX(Realizado!$H20:$S20,$D$3)</f>
        <v/>
      </c>
      <c r="H21" s="37">
        <f>G21-F21</f>
        <v/>
      </c>
      <c r="I21" s="37">
        <f>SUMPRODUCT((COLUMN(Planejado!$H$4:$S$4)-COLUMN(Planejado!$H$4)+1&lt;=$D$3)*Planejado!$H20:$S20)</f>
        <v/>
      </c>
      <c r="J21" s="37">
        <f>SUMPRODUCT((COLUMN(Realizado!$H$4:$S$4)-COLUMN(Realizado!$H$4)+1&lt;=$D$3)*Realizado!$H20:$S20)</f>
        <v/>
      </c>
      <c r="K21" s="37">
        <f>J21-I21</f>
        <v/>
      </c>
      <c r="L21" s="38">
        <f>IFERROR(K21/I21,"")</f>
        <v/>
      </c>
      <c r="M21" s="38">
        <f>IFERROR(J21/I21,"")</f>
        <v/>
      </c>
      <c r="N21" s="39">
        <f>IF(P21=0,"Sem lançamento",IF(AND(I21=0,J21=0),"—",IF(I21=0,"Não orçado",IF(K21&gt;0.05*I21,"Acima do orçado",IF(K21&lt;-0.05*I21,"Abaixo do orçado","Dentro do orçado")))))</f>
        <v/>
      </c>
      <c r="O21" s="34">
        <f>IF(K21&gt;1,K21+ROW()/1000000,"")</f>
        <v/>
      </c>
      <c r="P21" s="40">
        <f>SUMPRODUCT((COLUMN(Realizado!$H$4:$S$4)-COLUMN(Realizado!$H$4)+1&lt;=$D$3)*(Realizado!$H20:$S20&lt;&gt;""))</f>
        <v/>
      </c>
      <c r="Q21" s="41">
        <f>IF(P21=0,"",K21)</f>
        <v/>
      </c>
      <c r="R21" s="41">
        <f>IF(AND(Q21&lt;&gt;"",Q21&lt;-1),-Q21+ROW()/1000000,"")</f>
        <v/>
      </c>
      <c r="S21" s="41">
        <f>IF(Q21="","",I21)</f>
        <v/>
      </c>
    </row>
    <row r="22" ht="24" customHeight="1">
      <c r="A22" s="35">
        <f>Planejado!A21</f>
        <v/>
      </c>
      <c r="B22" s="35">
        <f>Planejado!B21</f>
        <v/>
      </c>
      <c r="C22" s="35">
        <f>Planejado!C21</f>
        <v/>
      </c>
      <c r="D22" s="36">
        <f>Planejado!D21</f>
        <v/>
      </c>
      <c r="E22" s="35">
        <f>Planejado!G21</f>
        <v/>
      </c>
      <c r="F22" s="37">
        <f>INDEX(Planejado!$H21:$S21,$D$3)</f>
        <v/>
      </c>
      <c r="G22" s="37">
        <f>INDEX(Realizado!$H21:$S21,$D$3)</f>
        <v/>
      </c>
      <c r="H22" s="37">
        <f>G22-F22</f>
        <v/>
      </c>
      <c r="I22" s="37">
        <f>SUMPRODUCT((COLUMN(Planejado!$H$4:$S$4)-COLUMN(Planejado!$H$4)+1&lt;=$D$3)*Planejado!$H21:$S21)</f>
        <v/>
      </c>
      <c r="J22" s="37">
        <f>SUMPRODUCT((COLUMN(Realizado!$H$4:$S$4)-COLUMN(Realizado!$H$4)+1&lt;=$D$3)*Realizado!$H21:$S21)</f>
        <v/>
      </c>
      <c r="K22" s="37">
        <f>J22-I22</f>
        <v/>
      </c>
      <c r="L22" s="38">
        <f>IFERROR(K22/I22,"")</f>
        <v/>
      </c>
      <c r="M22" s="38">
        <f>IFERROR(J22/I22,"")</f>
        <v/>
      </c>
      <c r="N22" s="39">
        <f>IF(P22=0,"Sem lançamento",IF(AND(I22=0,J22=0),"—",IF(I22=0,"Não orçado",IF(K22&gt;0.05*I22,"Acima do orçado",IF(K22&lt;-0.05*I22,"Abaixo do orçado","Dentro do orçado")))))</f>
        <v/>
      </c>
      <c r="O22" s="34">
        <f>IF(K22&gt;1,K22+ROW()/1000000,"")</f>
        <v/>
      </c>
      <c r="P22" s="40">
        <f>SUMPRODUCT((COLUMN(Realizado!$H$4:$S$4)-COLUMN(Realizado!$H$4)+1&lt;=$D$3)*(Realizado!$H21:$S21&lt;&gt;""))</f>
        <v/>
      </c>
      <c r="Q22" s="41">
        <f>IF(P22=0,"",K22)</f>
        <v/>
      </c>
      <c r="R22" s="41">
        <f>IF(AND(Q22&lt;&gt;"",Q22&lt;-1),-Q22+ROW()/1000000,"")</f>
        <v/>
      </c>
      <c r="S22" s="41">
        <f>IF(Q22="","",I22)</f>
        <v/>
      </c>
    </row>
    <row r="23" ht="24" customHeight="1">
      <c r="A23" s="35">
        <f>Planejado!A22</f>
        <v/>
      </c>
      <c r="B23" s="35">
        <f>Planejado!B22</f>
        <v/>
      </c>
      <c r="C23" s="35">
        <f>Planejado!C22</f>
        <v/>
      </c>
      <c r="D23" s="36">
        <f>Planejado!D22</f>
        <v/>
      </c>
      <c r="E23" s="35">
        <f>Planejado!G22</f>
        <v/>
      </c>
      <c r="F23" s="37">
        <f>INDEX(Planejado!$H22:$S22,$D$3)</f>
        <v/>
      </c>
      <c r="G23" s="37">
        <f>INDEX(Realizado!$H22:$S22,$D$3)</f>
        <v/>
      </c>
      <c r="H23" s="37">
        <f>G23-F23</f>
        <v/>
      </c>
      <c r="I23" s="37">
        <f>SUMPRODUCT((COLUMN(Planejado!$H$4:$S$4)-COLUMN(Planejado!$H$4)+1&lt;=$D$3)*Planejado!$H22:$S22)</f>
        <v/>
      </c>
      <c r="J23" s="37">
        <f>SUMPRODUCT((COLUMN(Realizado!$H$4:$S$4)-COLUMN(Realizado!$H$4)+1&lt;=$D$3)*Realizado!$H22:$S22)</f>
        <v/>
      </c>
      <c r="K23" s="37">
        <f>J23-I23</f>
        <v/>
      </c>
      <c r="L23" s="38">
        <f>IFERROR(K23/I23,"")</f>
        <v/>
      </c>
      <c r="M23" s="38">
        <f>IFERROR(J23/I23,"")</f>
        <v/>
      </c>
      <c r="N23" s="39">
        <f>IF(P23=0,"Sem lançamento",IF(AND(I23=0,J23=0),"—",IF(I23=0,"Não orçado",IF(K23&gt;0.05*I23,"Acima do orçado",IF(K23&lt;-0.05*I23,"Abaixo do orçado","Dentro do orçado")))))</f>
        <v/>
      </c>
      <c r="O23" s="34">
        <f>IF(K23&gt;1,K23+ROW()/1000000,"")</f>
        <v/>
      </c>
      <c r="P23" s="40">
        <f>SUMPRODUCT((COLUMN(Realizado!$H$4:$S$4)-COLUMN(Realizado!$H$4)+1&lt;=$D$3)*(Realizado!$H22:$S22&lt;&gt;""))</f>
        <v/>
      </c>
      <c r="Q23" s="41">
        <f>IF(P23=0,"",K23)</f>
        <v/>
      </c>
      <c r="R23" s="41">
        <f>IF(AND(Q23&lt;&gt;"",Q23&lt;-1),-Q23+ROW()/1000000,"")</f>
        <v/>
      </c>
      <c r="S23" s="41">
        <f>IF(Q23="","",I23)</f>
        <v/>
      </c>
    </row>
    <row r="34">
      <c r="A34" s="42" t="inlineStr">
        <is>
          <t>TOTAL GERAL</t>
        </is>
      </c>
      <c r="B34" s="42" t="n"/>
      <c r="C34" s="42" t="n"/>
      <c r="D34" s="42" t="n"/>
      <c r="E34" s="42" t="n"/>
      <c r="F34" s="43">
        <f>SUM(F6:F23)</f>
        <v/>
      </c>
      <c r="G34" s="43">
        <f>SUM(G6:G23)</f>
        <v/>
      </c>
      <c r="H34" s="43">
        <f>SUM(H6:H23)</f>
        <v/>
      </c>
      <c r="I34" s="43">
        <f>SUM(I6:I23)</f>
        <v/>
      </c>
      <c r="J34" s="43">
        <f>SUM(J6:J23)</f>
        <v/>
      </c>
      <c r="K34" s="43">
        <f>SUM(K6:K23)</f>
        <v/>
      </c>
      <c r="L34" s="44">
        <f>IFERROR(K34/I34,"")</f>
        <v/>
      </c>
      <c r="M34" s="44">
        <f>IFERROR(J34/I34,"")</f>
        <v/>
      </c>
      <c r="N34" s="42" t="n"/>
    </row>
  </sheetData>
  <autoFilter ref="A5:N23"/>
  <mergeCells count="2">
    <mergeCell ref="A2:N2"/>
    <mergeCell ref="A1:N1"/>
  </mergeCells>
  <conditionalFormatting sqref="H6:H23">
    <cfRule type="cellIs" priority="1" operator="greaterThan" dxfId="0">
      <formula>0</formula>
    </cfRule>
    <cfRule type="cellIs" priority="2" operator="lessThan" dxfId="1">
      <formula>0</formula>
    </cfRule>
  </conditionalFormatting>
  <conditionalFormatting sqref="K6:K23">
    <cfRule type="cellIs" priority="3" operator="greaterThan" dxfId="0">
      <formula>0</formula>
    </cfRule>
    <cfRule type="cellIs" priority="4" operator="lessThan" dxfId="1">
      <formula>0</formula>
    </cfRule>
  </conditionalFormatting>
  <dataValidations count="1">
    <dataValidation sqref="B3" showDropDown="0" showInputMessage="0" showErrorMessage="0" allowBlank="0" type="list">
      <formula1>"Jan/26,Fev/26,Mar/26,Abr/26,Mai/26,Jun/26,Jul/26,Ago/26,Set/26,Out/26,Nov/26,Dez/26"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1" customWidth="1" min="3" max="3"/>
    <col width="34" customWidth="1" min="4" max="4"/>
    <col width="42" customWidth="1" min="5" max="5"/>
    <col width="8" customWidth="1" min="6" max="6"/>
    <col width="26"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6" customWidth="1" min="20" max="20"/>
  </cols>
  <sheetData>
    <row r="1" ht="30" customHeight="1">
      <c r="A1" s="1" t="inlineStr">
        <is>
          <t>ORÇAMENTO PLANEJADO 2026  —  TI</t>
        </is>
      </c>
    </row>
    <row r="2" ht="18" customHeight="1">
      <c r="A2" s="2" t="inlineStr">
        <is>
          <t>Base: janeiro a dezembro/2026 (12 meses). CLT com encargos de folha + benefícios inclusos. Esta aba é a referência — altere aqui apenas se o orçamento for oficialmente revisado.</t>
        </is>
      </c>
    </row>
    <row r="4" ht="30" customHeight="1">
      <c r="A4" s="6" t="inlineStr">
        <is>
          <t>ID</t>
        </is>
      </c>
      <c r="B4" s="6" t="inlineStr">
        <is>
          <t>Departamento</t>
        </is>
      </c>
      <c r="C4" s="6" t="inlineStr">
        <is>
          <t>Bloco</t>
        </is>
      </c>
      <c r="D4" s="6" t="inlineStr">
        <is>
          <t>Descrição</t>
        </is>
      </c>
      <c r="E4" s="6" t="inlineStr">
        <is>
          <t>Detalhe / Observação</t>
        </is>
      </c>
      <c r="F4" s="6" t="inlineStr">
        <is>
          <t>Vínculo</t>
        </is>
      </c>
      <c r="G4" s="6" t="inlineStr">
        <is>
          <t>Plano de Contas</t>
        </is>
      </c>
      <c r="H4" s="6" t="inlineStr">
        <is>
          <t>Jan/26</t>
        </is>
      </c>
      <c r="I4" s="6" t="inlineStr">
        <is>
          <t>Fev/26</t>
        </is>
      </c>
      <c r="J4" s="6" t="inlineStr">
        <is>
          <t>Mar/26</t>
        </is>
      </c>
      <c r="K4" s="6" t="inlineStr">
        <is>
          <t>Abr/26</t>
        </is>
      </c>
      <c r="L4" s="6" t="inlineStr">
        <is>
          <t>Mai/26</t>
        </is>
      </c>
      <c r="M4" s="6" t="inlineStr">
        <is>
          <t>Jun/26</t>
        </is>
      </c>
      <c r="N4" s="6" t="inlineStr">
        <is>
          <t>Jul/26</t>
        </is>
      </c>
      <c r="O4" s="6" t="inlineStr">
        <is>
          <t>Ago/26</t>
        </is>
      </c>
      <c r="P4" s="6" t="inlineStr">
        <is>
          <t>Set/26</t>
        </is>
      </c>
      <c r="Q4" s="6" t="inlineStr">
        <is>
          <t>Out/26</t>
        </is>
      </c>
      <c r="R4" s="6" t="inlineStr">
        <is>
          <t>Nov/26</t>
        </is>
      </c>
      <c r="S4" s="6" t="inlineStr">
        <is>
          <t>Dez/26</t>
        </is>
      </c>
      <c r="T4" s="6" t="inlineStr">
        <is>
          <t>TOTAL DO ANO</t>
        </is>
      </c>
    </row>
    <row r="5" ht="26" customHeight="1">
      <c r="A5" s="35" t="inlineStr">
        <is>
          <t>TI-E01</t>
        </is>
      </c>
      <c r="B5" s="35" t="inlineStr">
        <is>
          <t>TI</t>
        </is>
      </c>
      <c r="C5" s="35" t="inlineStr">
        <is>
          <t>Equipe</t>
        </is>
      </c>
      <c r="D5" s="36" t="inlineStr">
        <is>
          <t>Vinicius Di Franco</t>
        </is>
      </c>
      <c r="E5" s="36" t="inlineStr">
        <is>
          <t>Analista Administrativo — suporte ao usuário, rotina administrativa do orçamento e apoio operacional ao desenvolvimento conduzido pelo consultor. Orçado pelo custo total (encargos de folha + benefícios). Salário bruto: R$ 2.570,52/mês até jul/26 e R$ 3.070,52 a partir de 05/08/26, aumento absorvido pela folga do envelope</t>
        </is>
      </c>
      <c r="F5" s="35" t="inlineStr">
        <is>
          <t>CLT</t>
        </is>
      </c>
      <c r="G5" s="35" t="inlineStr">
        <is>
          <t>Pessoal - CLT</t>
        </is>
      </c>
      <c r="H5" s="37" t="n">
        <v>5416.525</v>
      </c>
      <c r="I5" s="37" t="n">
        <v>5416.525</v>
      </c>
      <c r="J5" s="37" t="n">
        <v>5416.525</v>
      </c>
      <c r="K5" s="37" t="n">
        <v>5416.525</v>
      </c>
      <c r="L5" s="37" t="n">
        <v>5416.525</v>
      </c>
      <c r="M5" s="37" t="n">
        <v>5416.525</v>
      </c>
      <c r="N5" s="37" t="n">
        <v>5416.525</v>
      </c>
      <c r="O5" s="37" t="n">
        <v>5416.525</v>
      </c>
      <c r="P5" s="37" t="n">
        <v>5416.525</v>
      </c>
      <c r="Q5" s="37" t="n">
        <v>5416.525</v>
      </c>
      <c r="R5" s="37" t="n">
        <v>5416.525</v>
      </c>
      <c r="S5" s="37" t="n">
        <v>5416.525</v>
      </c>
      <c r="T5" s="45">
        <f>SUM(H5:S5)</f>
        <v/>
      </c>
    </row>
    <row r="6" ht="26" customHeight="1">
      <c r="A6" s="35" t="inlineStr">
        <is>
          <t>TI-E02</t>
        </is>
      </c>
      <c r="B6" s="35" t="inlineStr">
        <is>
          <t>TI</t>
        </is>
      </c>
      <c r="C6" s="35" t="inlineStr">
        <is>
          <t>Equipe</t>
        </is>
      </c>
      <c r="D6" s="36" t="inlineStr">
        <is>
          <t>Elias Benedito</t>
        </is>
      </c>
      <c r="E6" s="36" t="inlineStr">
        <is>
          <t>Suporte Técnico Terceirizado — R$ 1.065/mês até ago/26; R$ 603,30 a partir de set/26 (renegociação)</t>
        </is>
      </c>
      <c r="F6" s="35" t="inlineStr">
        <is>
          <t>PJ</t>
        </is>
      </c>
      <c r="G6" s="35" t="inlineStr">
        <is>
          <t>Pessoal - PJ</t>
        </is>
      </c>
      <c r="H6" s="37" t="n">
        <v>1065</v>
      </c>
      <c r="I6" s="37" t="n">
        <v>1065</v>
      </c>
      <c r="J6" s="37" t="n">
        <v>1065</v>
      </c>
      <c r="K6" s="37" t="n">
        <v>1065</v>
      </c>
      <c r="L6" s="37" t="n">
        <v>1065</v>
      </c>
      <c r="M6" s="37" t="n">
        <v>1065</v>
      </c>
      <c r="N6" s="37" t="n">
        <v>1065</v>
      </c>
      <c r="O6" s="37" t="n">
        <v>1065</v>
      </c>
      <c r="P6" s="37" t="n">
        <v>603.3</v>
      </c>
      <c r="Q6" s="37" t="n">
        <v>603.3</v>
      </c>
      <c r="R6" s="37" t="n">
        <v>603.3</v>
      </c>
      <c r="S6" s="37" t="n">
        <v>603.3</v>
      </c>
      <c r="T6" s="45">
        <f>SUM(H6:S6)</f>
        <v/>
      </c>
    </row>
    <row r="7" ht="26" customHeight="1">
      <c r="A7" s="35" t="inlineStr">
        <is>
          <t>TI-E03</t>
        </is>
      </c>
      <c r="B7" s="35" t="inlineStr">
        <is>
          <t>TI</t>
        </is>
      </c>
      <c r="C7" s="35" t="inlineStr">
        <is>
          <t>Equipe</t>
        </is>
      </c>
      <c r="D7" s="36" t="inlineStr">
        <is>
          <t>Jonathan — consultor (desde abr/26)</t>
        </is>
      </c>
      <c r="E7" s="36" t="inlineStr">
        <is>
          <t>Consultor/desenvolvedor, 3 dias por semana (104 h/mês) desde abr/26. Orçado em R$ 10.000/mês desde jan/26; a contratação foi segurada por três meses. Credor no SIENGE: J H ALVES — MONITOR REMOTO</t>
        </is>
      </c>
      <c r="F7" s="35" t="inlineStr">
        <is>
          <t>PJ</t>
        </is>
      </c>
      <c r="G7" s="35" t="inlineStr">
        <is>
          <t>Pessoal - PJ</t>
        </is>
      </c>
      <c r="H7" s="37" t="n">
        <v>10000</v>
      </c>
      <c r="I7" s="37" t="n">
        <v>10000</v>
      </c>
      <c r="J7" s="37" t="n">
        <v>10000</v>
      </c>
      <c r="K7" s="37" t="n">
        <v>10000</v>
      </c>
      <c r="L7" s="37" t="n">
        <v>10000</v>
      </c>
      <c r="M7" s="37" t="n">
        <v>10000</v>
      </c>
      <c r="N7" s="37" t="n">
        <v>10000</v>
      </c>
      <c r="O7" s="37" t="n">
        <v>10000</v>
      </c>
      <c r="P7" s="37" t="n">
        <v>10000</v>
      </c>
      <c r="Q7" s="37" t="n">
        <v>10000</v>
      </c>
      <c r="R7" s="37" t="n">
        <v>10000</v>
      </c>
      <c r="S7" s="37" t="n">
        <v>10000</v>
      </c>
      <c r="T7" s="45">
        <f>SUM(H7:S7)</f>
        <v/>
      </c>
    </row>
    <row r="8" ht="26" customHeight="1">
      <c r="A8" s="35" t="inlineStr">
        <is>
          <t>TI-E04</t>
        </is>
      </c>
      <c r="B8" s="35" t="inlineStr">
        <is>
          <t>TI</t>
        </is>
      </c>
      <c r="C8" s="35" t="inlineStr">
        <is>
          <t>Equipe</t>
        </is>
      </c>
      <c r="D8" s="36" t="inlineStr">
        <is>
          <t>Monitor Remoto — serviços esporádicos (até mar/26)</t>
        </is>
      </c>
      <c r="E8" s="36" t="inlineStr">
        <is>
          <t>Mesmo prestador do TI-E03, em vínculo anterior: serviços esporádicos prestados de fora, encerrados quando ele passou a atuar como consultor fixo em abr/26. Não constava na ficha de orçamento</t>
        </is>
      </c>
      <c r="F8" s="35" t="inlineStr">
        <is>
          <t>PJ</t>
        </is>
      </c>
      <c r="G8" s="35" t="inlineStr">
        <is>
          <t>Pessoal - PJ</t>
        </is>
      </c>
      <c r="H8" s="37" t="n">
        <v>0</v>
      </c>
      <c r="I8" s="37" t="n">
        <v>0</v>
      </c>
      <c r="J8" s="37" t="n">
        <v>0</v>
      </c>
      <c r="K8" s="37" t="n">
        <v>0</v>
      </c>
      <c r="L8" s="37" t="n">
        <v>0</v>
      </c>
      <c r="M8" s="37" t="n">
        <v>0</v>
      </c>
      <c r="N8" s="37" t="n">
        <v>0</v>
      </c>
      <c r="O8" s="37" t="n">
        <v>0</v>
      </c>
      <c r="P8" s="37" t="n">
        <v>0</v>
      </c>
      <c r="Q8" s="37" t="n">
        <v>0</v>
      </c>
      <c r="R8" s="37" t="n">
        <v>0</v>
      </c>
      <c r="S8" s="37" t="n">
        <v>0</v>
      </c>
      <c r="T8" s="45">
        <f>SUM(H8:S8)</f>
        <v/>
      </c>
    </row>
    <row r="9" ht="26" customHeight="1">
      <c r="A9" s="35" t="inlineStr">
        <is>
          <t>TI-D01</t>
        </is>
      </c>
      <c r="B9" s="35" t="inlineStr">
        <is>
          <t>TI</t>
        </is>
      </c>
      <c r="C9" s="35" t="inlineStr">
        <is>
          <t>Despesas</t>
        </is>
      </c>
      <c r="D9" s="36" t="inlineStr">
        <is>
          <t>Peças de Manutenção</t>
        </is>
      </c>
      <c r="E9" s="36" t="inlineStr">
        <is>
          <t>Tela, teclado, carcaça, mouses de reposição, carregadores etc.</t>
        </is>
      </c>
      <c r="F9" s="35" t="inlineStr"/>
      <c r="G9" s="35" t="inlineStr">
        <is>
          <t>Equipamentos Eletrônicos Diversos</t>
        </is>
      </c>
      <c r="H9" s="37" t="n">
        <v>810</v>
      </c>
      <c r="I9" s="37" t="n">
        <v>810</v>
      </c>
      <c r="J9" s="37" t="n">
        <v>810</v>
      </c>
      <c r="K9" s="37" t="n">
        <v>810</v>
      </c>
      <c r="L9" s="37" t="n">
        <v>810</v>
      </c>
      <c r="M9" s="37" t="n">
        <v>810</v>
      </c>
      <c r="N9" s="37" t="n">
        <v>810</v>
      </c>
      <c r="O9" s="37" t="n">
        <v>810</v>
      </c>
      <c r="P9" s="37" t="n">
        <v>810</v>
      </c>
      <c r="Q9" s="37" t="n">
        <v>810</v>
      </c>
      <c r="R9" s="37" t="n">
        <v>810</v>
      </c>
      <c r="S9" s="37" t="n">
        <v>810</v>
      </c>
      <c r="T9" s="45">
        <f>SUM(H9:S9)</f>
        <v/>
      </c>
    </row>
    <row r="10" ht="26" customHeight="1">
      <c r="A10" s="35" t="inlineStr">
        <is>
          <t>TI-D02</t>
        </is>
      </c>
      <c r="B10" s="35" t="inlineStr">
        <is>
          <t>TI</t>
        </is>
      </c>
      <c r="C10" s="35" t="inlineStr">
        <is>
          <t>Despesas</t>
        </is>
      </c>
      <c r="D10" s="36" t="inlineStr">
        <is>
          <t>Backup em Nuvem</t>
        </is>
      </c>
      <c r="E10" s="36" t="inlineStr">
        <is>
          <t>Serviço de backup em nuvem para servidor — RATEIO A DEFINIR</t>
        </is>
      </c>
      <c r="F10" s="35" t="inlineStr"/>
      <c r="G10" s="35" t="inlineStr">
        <is>
          <t>Licenças de Softwares</t>
        </is>
      </c>
      <c r="H10" s="37" t="n">
        <v>825</v>
      </c>
      <c r="I10" s="37" t="n">
        <v>825</v>
      </c>
      <c r="J10" s="37" t="n">
        <v>825</v>
      </c>
      <c r="K10" s="37" t="n">
        <v>825</v>
      </c>
      <c r="L10" s="37" t="n">
        <v>825</v>
      </c>
      <c r="M10" s="37" t="n">
        <v>825</v>
      </c>
      <c r="N10" s="37" t="n">
        <v>825</v>
      </c>
      <c r="O10" s="37" t="n">
        <v>825</v>
      </c>
      <c r="P10" s="37" t="n">
        <v>825</v>
      </c>
      <c r="Q10" s="37" t="n">
        <v>825</v>
      </c>
      <c r="R10" s="37" t="n">
        <v>825</v>
      </c>
      <c r="S10" s="37" t="n">
        <v>825</v>
      </c>
      <c r="T10" s="45">
        <f>SUM(H10:S10)</f>
        <v/>
      </c>
    </row>
    <row r="11" ht="26" customHeight="1">
      <c r="A11" s="35" t="inlineStr">
        <is>
          <t>TI-D03</t>
        </is>
      </c>
      <c r="B11" s="35" t="inlineStr">
        <is>
          <t>TI</t>
        </is>
      </c>
      <c r="C11" s="35" t="inlineStr">
        <is>
          <t>Despesas</t>
        </is>
      </c>
      <c r="D11" s="36" t="inlineStr">
        <is>
          <t>Inteligência Artificial (Adapta)</t>
        </is>
      </c>
      <c r="E11" s="36" t="inlineStr">
        <is>
          <t>Plataforma de IA para utilização de agentes — RATEIO A DEFINIR. Pagamentos reais de R$ 575/mês estão lançados no centro de custo Jurídico por engano (ver pendência Q)</t>
        </is>
      </c>
      <c r="F11" s="35" t="inlineStr"/>
      <c r="G11" s="35" t="inlineStr">
        <is>
          <t>Licenças de Softwares</t>
        </is>
      </c>
      <c r="H11" s="37" t="n">
        <v>1300</v>
      </c>
      <c r="I11" s="37" t="n">
        <v>1300</v>
      </c>
      <c r="J11" s="37" t="n">
        <v>1300</v>
      </c>
      <c r="K11" s="37" t="n">
        <v>1300</v>
      </c>
      <c r="L11" s="37" t="n">
        <v>1300</v>
      </c>
      <c r="M11" s="37" t="n">
        <v>1300</v>
      </c>
      <c r="N11" s="37" t="n">
        <v>1600</v>
      </c>
      <c r="O11" s="37" t="n">
        <v>1600</v>
      </c>
      <c r="P11" s="37" t="n">
        <v>1600</v>
      </c>
      <c r="Q11" s="37" t="n">
        <v>1600</v>
      </c>
      <c r="R11" s="37" t="n">
        <v>1600</v>
      </c>
      <c r="S11" s="37" t="n">
        <v>1600</v>
      </c>
      <c r="T11" s="45">
        <f>SUM(H11:S11)</f>
        <v/>
      </c>
    </row>
    <row r="12" ht="26" customHeight="1">
      <c r="A12" s="35" t="inlineStr">
        <is>
          <t>TI-D04</t>
        </is>
      </c>
      <c r="B12" s="35" t="inlineStr">
        <is>
          <t>TI</t>
        </is>
      </c>
      <c r="C12" s="35" t="inlineStr">
        <is>
          <t>Despesas</t>
        </is>
      </c>
      <c r="D12" s="36" t="inlineStr">
        <is>
          <t>Antivírus</t>
        </is>
      </c>
      <c r="E12" s="36" t="inlineStr">
        <is>
          <t>Proteção para equipamentos — RATEIO A DEFINIR</t>
        </is>
      </c>
      <c r="F12" s="35" t="inlineStr"/>
      <c r="G12" s="35" t="inlineStr">
        <is>
          <t>Licenças de Softwares</t>
        </is>
      </c>
      <c r="H12" s="37" t="n">
        <v>240</v>
      </c>
      <c r="I12" s="37" t="n">
        <v>240</v>
      </c>
      <c r="J12" s="37" t="n">
        <v>240</v>
      </c>
      <c r="K12" s="37" t="n">
        <v>240</v>
      </c>
      <c r="L12" s="37" t="n">
        <v>240</v>
      </c>
      <c r="M12" s="37" t="n">
        <v>240</v>
      </c>
      <c r="N12" s="37" t="n">
        <v>240</v>
      </c>
      <c r="O12" s="37" t="n">
        <v>240</v>
      </c>
      <c r="P12" s="37" t="n">
        <v>240</v>
      </c>
      <c r="Q12" s="37" t="n">
        <v>240</v>
      </c>
      <c r="R12" s="37" t="n">
        <v>240</v>
      </c>
      <c r="S12" s="37" t="n">
        <v>240</v>
      </c>
      <c r="T12" s="45">
        <f>SUM(H12:S12)</f>
        <v/>
      </c>
    </row>
    <row r="13" ht="26" customHeight="1">
      <c r="A13" s="35" t="inlineStr">
        <is>
          <t>TI-D05</t>
        </is>
      </c>
      <c r="B13" s="35" t="inlineStr">
        <is>
          <t>TI</t>
        </is>
      </c>
      <c r="C13" s="35" t="inlineStr">
        <is>
          <t>Despesas</t>
        </is>
      </c>
      <c r="D13" s="36" t="inlineStr">
        <is>
          <t>Pacote Office 365</t>
        </is>
      </c>
      <c r="E13" s="36" t="inlineStr">
        <is>
          <t>Licenças de software (conferir nº de licenças x usuários) — RATEIO A DEFINIR</t>
        </is>
      </c>
      <c r="F13" s="35" t="inlineStr"/>
      <c r="G13" s="35" t="inlineStr">
        <is>
          <t>Licenças de Softwares</t>
        </is>
      </c>
      <c r="H13" s="37" t="n">
        <v>375</v>
      </c>
      <c r="I13" s="37" t="n">
        <v>375</v>
      </c>
      <c r="J13" s="37" t="n">
        <v>375</v>
      </c>
      <c r="K13" s="37" t="n">
        <v>375</v>
      </c>
      <c r="L13" s="37" t="n">
        <v>375</v>
      </c>
      <c r="M13" s="37" t="n">
        <v>375</v>
      </c>
      <c r="N13" s="37" t="n">
        <v>375</v>
      </c>
      <c r="O13" s="37" t="n">
        <v>375</v>
      </c>
      <c r="P13" s="37" t="n">
        <v>375</v>
      </c>
      <c r="Q13" s="37" t="n">
        <v>375</v>
      </c>
      <c r="R13" s="37" t="n">
        <v>375</v>
      </c>
      <c r="S13" s="37" t="n">
        <v>375</v>
      </c>
      <c r="T13" s="45">
        <f>SUM(H13:S13)</f>
        <v/>
      </c>
    </row>
    <row r="14" ht="26" customHeight="1">
      <c r="A14" s="35" t="inlineStr">
        <is>
          <t>TI-D06</t>
        </is>
      </c>
      <c r="B14" s="35" t="inlineStr">
        <is>
          <t>TI</t>
        </is>
      </c>
      <c r="C14" s="35" t="inlineStr">
        <is>
          <t>Despesas</t>
        </is>
      </c>
      <c r="D14" s="36" t="inlineStr">
        <is>
          <t>Projeto Sala de Reunião — itens funcionais</t>
        </is>
      </c>
      <c r="E14" s="36" t="inlineStr">
        <is>
          <t>Câmeras, microfones e cadeiras. DECIDIDO executar só o funcional; cafeteira, copos, canetas e blocos personalizados saem para o Administrativo. Valor a rever quando vier a quebra entre funcional e consumo</t>
        </is>
      </c>
      <c r="F14" s="35" t="inlineStr"/>
      <c r="G14" s="35" t="inlineStr">
        <is>
          <t>Móveis e Utensílios</t>
        </is>
      </c>
      <c r="H14" s="37" t="n">
        <v>2800</v>
      </c>
      <c r="I14" s="37" t="n">
        <v>2800</v>
      </c>
      <c r="J14" s="37" t="n">
        <v>2800</v>
      </c>
      <c r="K14" s="37" t="n">
        <v>2800</v>
      </c>
      <c r="L14" s="37" t="n">
        <v>2800</v>
      </c>
      <c r="M14" s="37" t="n">
        <v>2800</v>
      </c>
      <c r="N14" s="37" t="n">
        <v>2800</v>
      </c>
      <c r="O14" s="37" t="n">
        <v>2800</v>
      </c>
      <c r="P14" s="37" t="n">
        <v>2800</v>
      </c>
      <c r="Q14" s="37" t="n">
        <v>2800</v>
      </c>
      <c r="R14" s="37" t="n">
        <v>2800</v>
      </c>
      <c r="S14" s="37" t="n">
        <v>2800</v>
      </c>
      <c r="T14" s="45">
        <f>SUM(H14:S14)</f>
        <v/>
      </c>
    </row>
    <row r="15" ht="26" customHeight="1">
      <c r="A15" s="35" t="inlineStr">
        <is>
          <t>TI-D07</t>
        </is>
      </c>
      <c r="B15" s="35" t="inlineStr">
        <is>
          <t>TI</t>
        </is>
      </c>
      <c r="C15" s="35" t="inlineStr">
        <is>
          <t>Despesas</t>
        </is>
      </c>
      <c r="D15" s="36" t="inlineStr">
        <is>
          <t>Cursos e Treinamentos</t>
        </is>
      </c>
      <c r="E15" s="36" t="inlineStr"/>
      <c r="F15" s="35" t="inlineStr"/>
      <c r="G15" s="35" t="inlineStr">
        <is>
          <t>Custeio de Treinamento</t>
        </is>
      </c>
      <c r="H15" s="37" t="n">
        <v>200</v>
      </c>
      <c r="I15" s="37" t="n">
        <v>200</v>
      </c>
      <c r="J15" s="37" t="n">
        <v>200</v>
      </c>
      <c r="K15" s="37" t="n">
        <v>200</v>
      </c>
      <c r="L15" s="37" t="n">
        <v>200</v>
      </c>
      <c r="M15" s="37" t="n">
        <v>200</v>
      </c>
      <c r="N15" s="37" t="n">
        <v>200</v>
      </c>
      <c r="O15" s="37" t="n">
        <v>200</v>
      </c>
      <c r="P15" s="37" t="n">
        <v>200</v>
      </c>
      <c r="Q15" s="37" t="n">
        <v>200</v>
      </c>
      <c r="R15" s="37" t="n">
        <v>200</v>
      </c>
      <c r="S15" s="37" t="n">
        <v>200</v>
      </c>
      <c r="T15" s="45">
        <f>SUM(H15:S15)</f>
        <v/>
      </c>
    </row>
    <row r="16" ht="26" customHeight="1">
      <c r="A16" s="35" t="inlineStr">
        <is>
          <t>TI-D08</t>
        </is>
      </c>
      <c r="B16" s="35" t="inlineStr">
        <is>
          <t>TI</t>
        </is>
      </c>
      <c r="C16" s="35" t="inlineStr">
        <is>
          <t>Despesas</t>
        </is>
      </c>
      <c r="D16" s="36" t="inlineStr">
        <is>
          <t>Aplicativo de Gravação de Reunião</t>
        </is>
      </c>
      <c r="E16" s="36" t="inlineStr"/>
      <c r="F16" s="35" t="inlineStr"/>
      <c r="G16" s="35" t="inlineStr">
        <is>
          <t>Licenças de Softwares</t>
        </is>
      </c>
      <c r="H16" s="37" t="n">
        <v>220</v>
      </c>
      <c r="I16" s="37" t="n">
        <v>220</v>
      </c>
      <c r="J16" s="37" t="n">
        <v>220</v>
      </c>
      <c r="K16" s="37" t="n">
        <v>220</v>
      </c>
      <c r="L16" s="37" t="n">
        <v>220</v>
      </c>
      <c r="M16" s="37" t="n">
        <v>220</v>
      </c>
      <c r="N16" s="37" t="n">
        <v>220</v>
      </c>
      <c r="O16" s="37" t="n">
        <v>220</v>
      </c>
      <c r="P16" s="37" t="n">
        <v>220</v>
      </c>
      <c r="Q16" s="37" t="n">
        <v>220</v>
      </c>
      <c r="R16" s="37" t="n">
        <v>220</v>
      </c>
      <c r="S16" s="37" t="n">
        <v>220</v>
      </c>
      <c r="T16" s="45">
        <f>SUM(H16:S16)</f>
        <v/>
      </c>
    </row>
    <row r="17" ht="26" customHeight="1">
      <c r="A17" s="35" t="inlineStr">
        <is>
          <t>TI-D10</t>
        </is>
      </c>
      <c r="B17" s="35" t="inlineStr">
        <is>
          <t>TI</t>
        </is>
      </c>
      <c r="C17" s="35" t="inlineStr">
        <is>
          <t>Despesas</t>
        </is>
      </c>
      <c r="D17" s="36" t="inlineStr">
        <is>
          <t>Claude</t>
        </is>
      </c>
      <c r="E17" s="36" t="inlineStr">
        <is>
          <t>Ferramenta de IA — não constava na ficha. Planejado a definir com a diretoria. RATEIO A DEFINIR: uso transversal entre as áreas</t>
        </is>
      </c>
      <c r="F17" s="35" t="inlineStr"/>
      <c r="G17" s="35" t="inlineStr">
        <is>
          <t>Licenças de Softwares</t>
        </is>
      </c>
      <c r="H17" s="37" t="n">
        <v>0</v>
      </c>
      <c r="I17" s="37" t="n">
        <v>0</v>
      </c>
      <c r="J17" s="37" t="n">
        <v>0</v>
      </c>
      <c r="K17" s="37" t="n">
        <v>0</v>
      </c>
      <c r="L17" s="37" t="n">
        <v>0</v>
      </c>
      <c r="M17" s="37" t="n">
        <v>0</v>
      </c>
      <c r="N17" s="37" t="n">
        <v>0</v>
      </c>
      <c r="O17" s="37" t="n">
        <v>0</v>
      </c>
      <c r="P17" s="37" t="n">
        <v>0</v>
      </c>
      <c r="Q17" s="37" t="n">
        <v>0</v>
      </c>
      <c r="R17" s="37" t="n">
        <v>0</v>
      </c>
      <c r="S17" s="37" t="n">
        <v>0</v>
      </c>
      <c r="T17" s="45">
        <f>SUM(H17:S17)</f>
        <v/>
      </c>
    </row>
    <row r="18" ht="26" customHeight="1">
      <c r="A18" s="35" t="inlineStr">
        <is>
          <t>TI-D11</t>
        </is>
      </c>
      <c r="B18" s="35" t="inlineStr">
        <is>
          <t>TI</t>
        </is>
      </c>
      <c r="C18" s="35" t="inlineStr">
        <is>
          <t>Despesas</t>
        </is>
      </c>
      <c r="D18" s="36" t="inlineStr">
        <is>
          <t>GPT</t>
        </is>
      </c>
      <c r="E18" s="36" t="inlineStr">
        <is>
          <t>Ferramenta de IA — não constava na ficha. Planejado a definir com a diretoria. RATEIO A DEFINIR: uso transversal entre as áreas</t>
        </is>
      </c>
      <c r="F18" s="35" t="inlineStr"/>
      <c r="G18" s="35" t="inlineStr">
        <is>
          <t>Licenças de Softwares</t>
        </is>
      </c>
      <c r="H18" s="37" t="n">
        <v>0</v>
      </c>
      <c r="I18" s="37" t="n">
        <v>0</v>
      </c>
      <c r="J18" s="37" t="n">
        <v>0</v>
      </c>
      <c r="K18" s="37" t="n">
        <v>0</v>
      </c>
      <c r="L18" s="37" t="n">
        <v>0</v>
      </c>
      <c r="M18" s="37" t="n">
        <v>0</v>
      </c>
      <c r="N18" s="37" t="n">
        <v>0</v>
      </c>
      <c r="O18" s="37" t="n">
        <v>0</v>
      </c>
      <c r="P18" s="37" t="n">
        <v>0</v>
      </c>
      <c r="Q18" s="37" t="n">
        <v>0</v>
      </c>
      <c r="R18" s="37" t="n">
        <v>0</v>
      </c>
      <c r="S18" s="37" t="n">
        <v>0</v>
      </c>
      <c r="T18" s="45">
        <f>SUM(H18:S18)</f>
        <v/>
      </c>
    </row>
    <row r="19" ht="26" customHeight="1">
      <c r="A19" s="35" t="inlineStr">
        <is>
          <t>TI-D12</t>
        </is>
      </c>
      <c r="B19" s="35" t="inlineStr">
        <is>
          <t>TI</t>
        </is>
      </c>
      <c r="C19" s="35" t="inlineStr">
        <is>
          <t>Despesas</t>
        </is>
      </c>
      <c r="D19" s="36" t="inlineStr">
        <is>
          <t>Adapta One</t>
        </is>
      </c>
      <c r="E19" s="36" t="inlineStr">
        <is>
          <t>Ferramenta de IA — não constava na ficha. Planejado a definir com a diretoria. RATEIO A DEFINIR: uso transversal entre as áreas. CONFERIR sobreposição com a linha 'Inteligência Artificial (Adapta)'</t>
        </is>
      </c>
      <c r="F19" s="35" t="inlineStr"/>
      <c r="G19" s="35" t="inlineStr">
        <is>
          <t>Licenças de Softwares</t>
        </is>
      </c>
      <c r="H19" s="37" t="n">
        <v>0</v>
      </c>
      <c r="I19" s="37" t="n">
        <v>0</v>
      </c>
      <c r="J19" s="37" t="n">
        <v>0</v>
      </c>
      <c r="K19" s="37" t="n">
        <v>0</v>
      </c>
      <c r="L19" s="37" t="n">
        <v>0</v>
      </c>
      <c r="M19" s="37" t="n">
        <v>0</v>
      </c>
      <c r="N19" s="37" t="n">
        <v>0</v>
      </c>
      <c r="O19" s="37" t="n">
        <v>0</v>
      </c>
      <c r="P19" s="37" t="n">
        <v>0</v>
      </c>
      <c r="Q19" s="37" t="n">
        <v>0</v>
      </c>
      <c r="R19" s="37" t="n">
        <v>0</v>
      </c>
      <c r="S19" s="37" t="n">
        <v>0</v>
      </c>
      <c r="T19" s="45">
        <f>SUM(H19:S19)</f>
        <v/>
      </c>
    </row>
    <row r="20" ht="26" customHeight="1">
      <c r="A20" s="35" t="inlineStr">
        <is>
          <t>TI-D13</t>
        </is>
      </c>
      <c r="B20" s="35" t="inlineStr">
        <is>
          <t>TI</t>
        </is>
      </c>
      <c r="C20" s="35" t="inlineStr">
        <is>
          <t>Despesas</t>
        </is>
      </c>
      <c r="D20" s="36" t="inlineStr">
        <is>
          <t>Adapta Skip</t>
        </is>
      </c>
      <c r="E20" s="36" t="inlineStr">
        <is>
          <t>Ferramenta de IA — não constava na ficha. Planejado a definir com a diretoria. RATEIO A DEFINIR: uso transversal entre as áreas. CONFERIR o nome exato do produto e a sobreposição com 'Inteligência Artificial (Adapta)'</t>
        </is>
      </c>
      <c r="F20" s="35" t="inlineStr"/>
      <c r="G20" s="35" t="inlineStr">
        <is>
          <t>Licenças de Softwares</t>
        </is>
      </c>
      <c r="H20" s="37" t="n">
        <v>0</v>
      </c>
      <c r="I20" s="37" t="n">
        <v>0</v>
      </c>
      <c r="J20" s="37" t="n">
        <v>0</v>
      </c>
      <c r="K20" s="37" t="n">
        <v>0</v>
      </c>
      <c r="L20" s="37" t="n">
        <v>0</v>
      </c>
      <c r="M20" s="37" t="n">
        <v>0</v>
      </c>
      <c r="N20" s="37" t="n">
        <v>0</v>
      </c>
      <c r="O20" s="37" t="n">
        <v>0</v>
      </c>
      <c r="P20" s="37" t="n">
        <v>0</v>
      </c>
      <c r="Q20" s="37" t="n">
        <v>0</v>
      </c>
      <c r="R20" s="37" t="n">
        <v>0</v>
      </c>
      <c r="S20" s="37" t="n">
        <v>0</v>
      </c>
      <c r="T20" s="45">
        <f>SUM(H20:S20)</f>
        <v/>
      </c>
    </row>
    <row r="21" ht="26" customHeight="1">
      <c r="A21" s="35" t="inlineStr">
        <is>
          <t>TI-D14</t>
        </is>
      </c>
      <c r="B21" s="35" t="inlineStr">
        <is>
          <t>TI</t>
        </is>
      </c>
      <c r="C21" s="35" t="inlineStr">
        <is>
          <t>Despesas</t>
        </is>
      </c>
      <c r="D21" s="36" t="inlineStr">
        <is>
          <t>AnyDesk</t>
        </is>
      </c>
      <c r="E21" s="36" t="inlineStr">
        <is>
          <t>Licença de acesso remoto — contratação prevista, não constava na ficha. Valor e mês de início a definir. CONFERIR sobreposição com o serviço de monitoramento remoto já contratado (J H Alves)</t>
        </is>
      </c>
      <c r="F21" s="35" t="inlineStr"/>
      <c r="G21" s="35" t="inlineStr">
        <is>
          <t>Licenças de Softwares</t>
        </is>
      </c>
      <c r="H21" s="37" t="n">
        <v>0</v>
      </c>
      <c r="I21" s="37" t="n">
        <v>0</v>
      </c>
      <c r="J21" s="37" t="n">
        <v>0</v>
      </c>
      <c r="K21" s="37" t="n">
        <v>0</v>
      </c>
      <c r="L21" s="37" t="n">
        <v>0</v>
      </c>
      <c r="M21" s="37" t="n">
        <v>0</v>
      </c>
      <c r="N21" s="37" t="n">
        <v>0</v>
      </c>
      <c r="O21" s="37" t="n">
        <v>0</v>
      </c>
      <c r="P21" s="37" t="n">
        <v>0</v>
      </c>
      <c r="Q21" s="37" t="n">
        <v>0</v>
      </c>
      <c r="R21" s="37" t="n">
        <v>0</v>
      </c>
      <c r="S21" s="37" t="n">
        <v>0</v>
      </c>
      <c r="T21" s="45">
        <f>SUM(H21:S21)</f>
        <v/>
      </c>
    </row>
    <row r="22" ht="26" customHeight="1">
      <c r="A22" s="35" t="inlineStr">
        <is>
          <t>TI-D09</t>
        </is>
      </c>
      <c r="B22" s="35" t="inlineStr">
        <is>
          <t>TI</t>
        </is>
      </c>
      <c r="C22" s="35" t="inlineStr">
        <is>
          <t>Despesas</t>
        </is>
      </c>
      <c r="D22" s="36" t="inlineStr">
        <is>
          <t>Bonificação do time</t>
        </is>
      </c>
      <c r="E22" s="36" t="inlineStr">
        <is>
          <t>Cumprimento de prazos e participação em projetos — CONFIRMAR se houve parcela no 1º quadrimestre</t>
        </is>
      </c>
      <c r="F22" s="35" t="inlineStr"/>
      <c r="G22" s="35" t="inlineStr">
        <is>
          <t>Prêmios</t>
        </is>
      </c>
      <c r="H22" s="37" t="n">
        <v>0</v>
      </c>
      <c r="I22" s="37" t="n">
        <v>0</v>
      </c>
      <c r="J22" s="37" t="n">
        <v>0</v>
      </c>
      <c r="K22" s="37" t="n">
        <v>0</v>
      </c>
      <c r="L22" s="37" t="n">
        <v>0</v>
      </c>
      <c r="M22" s="37" t="n">
        <v>0</v>
      </c>
      <c r="N22" s="37" t="n">
        <v>0</v>
      </c>
      <c r="O22" s="37" t="n">
        <v>2400</v>
      </c>
      <c r="P22" s="37" t="n">
        <v>0</v>
      </c>
      <c r="Q22" s="37" t="n">
        <v>0</v>
      </c>
      <c r="R22" s="37" t="n">
        <v>0</v>
      </c>
      <c r="S22" s="37" t="n">
        <v>3600</v>
      </c>
      <c r="T22" s="45">
        <f>SUM(H22:S22)</f>
        <v/>
      </c>
    </row>
    <row r="23">
      <c r="A23" s="42" t="inlineStr">
        <is>
          <t>TOTAL GERAL</t>
        </is>
      </c>
      <c r="B23" s="42" t="n"/>
      <c r="C23" s="42" t="n"/>
      <c r="D23" s="42" t="n"/>
      <c r="E23" s="42" t="n"/>
      <c r="F23" s="42" t="n"/>
      <c r="G23" s="42" t="n"/>
      <c r="H23" s="43">
        <f>SUM(H5:H22)</f>
        <v/>
      </c>
      <c r="I23" s="43">
        <f>SUM(I5:I22)</f>
        <v/>
      </c>
      <c r="J23" s="43">
        <f>SUM(J5:J22)</f>
        <v/>
      </c>
      <c r="K23" s="43">
        <f>SUM(K5:K22)</f>
        <v/>
      </c>
      <c r="L23" s="43">
        <f>SUM(L5:L22)</f>
        <v/>
      </c>
      <c r="M23" s="43">
        <f>SUM(M5:M22)</f>
        <v/>
      </c>
      <c r="N23" s="43">
        <f>SUM(N5:N22)</f>
        <v/>
      </c>
      <c r="O23" s="43">
        <f>SUM(O5:O22)</f>
        <v/>
      </c>
      <c r="P23" s="43">
        <f>SUM(P5:P22)</f>
        <v/>
      </c>
      <c r="Q23" s="43">
        <f>SUM(Q5:Q22)</f>
        <v/>
      </c>
      <c r="R23" s="43">
        <f>SUM(R5:R22)</f>
        <v/>
      </c>
      <c r="S23" s="43">
        <f>SUM(S5:S22)</f>
        <v/>
      </c>
      <c r="T23" s="43">
        <f>SUM(T5:T22)</f>
        <v/>
      </c>
    </row>
  </sheetData>
  <autoFilter ref="A4:T22"/>
  <mergeCells count="2">
    <mergeCell ref="A1:T1"/>
    <mergeCell ref="A2:T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3"/>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1" customWidth="1" min="3" max="3"/>
    <col width="34" customWidth="1" min="4" max="4"/>
    <col width="42" customWidth="1" min="5" max="5"/>
    <col width="8" customWidth="1" min="6" max="6"/>
    <col width="26"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6" customWidth="1" min="20" max="20"/>
    <col width="22" customWidth="1" min="21" max="21"/>
    <col width="34" customWidth="1" min="22" max="22"/>
  </cols>
  <sheetData>
    <row r="1" ht="30" customHeight="1">
      <c r="A1" s="1" t="inlineStr">
        <is>
          <t>REALIZADO 2026  —  TI</t>
        </is>
      </c>
    </row>
    <row r="2" ht="18" customHeight="1">
      <c r="A2" s="2" t="inlineStr">
        <is>
          <t>Preencha SOMENTE as células amarelas (meses). As colunas de identificação vêm da aba Planejado. Lance o valor efetivamente pago/competência do mês. Mês sem gasto: digite 0 para diferenciar de 'ainda não lançado'.</t>
        </is>
      </c>
    </row>
    <row r="4" ht="30" customHeight="1">
      <c r="A4" s="46" t="inlineStr">
        <is>
          <t>ID</t>
        </is>
      </c>
      <c r="B4" s="46" t="inlineStr">
        <is>
          <t>Departamento</t>
        </is>
      </c>
      <c r="C4" s="46" t="inlineStr">
        <is>
          <t>Bloco</t>
        </is>
      </c>
      <c r="D4" s="46" t="inlineStr">
        <is>
          <t>Descrição</t>
        </is>
      </c>
      <c r="E4" s="46" t="inlineStr">
        <is>
          <t>Detalhe / Observação</t>
        </is>
      </c>
      <c r="F4" s="46" t="inlineStr">
        <is>
          <t>Vínculo</t>
        </is>
      </c>
      <c r="G4" s="46" t="inlineStr">
        <is>
          <t>Plano de Contas</t>
        </is>
      </c>
      <c r="H4" s="46" t="inlineStr">
        <is>
          <t>Jan/26</t>
        </is>
      </c>
      <c r="I4" s="46" t="inlineStr">
        <is>
          <t>Fev/26</t>
        </is>
      </c>
      <c r="J4" s="46" t="inlineStr">
        <is>
          <t>Mar/26</t>
        </is>
      </c>
      <c r="K4" s="46" t="inlineStr">
        <is>
          <t>Abr/26</t>
        </is>
      </c>
      <c r="L4" s="46" t="inlineStr">
        <is>
          <t>Mai/26</t>
        </is>
      </c>
      <c r="M4" s="46" t="inlineStr">
        <is>
          <t>Jun/26</t>
        </is>
      </c>
      <c r="N4" s="46" t="inlineStr">
        <is>
          <t>Jul/26</t>
        </is>
      </c>
      <c r="O4" s="46" t="inlineStr">
        <is>
          <t>Ago/26</t>
        </is>
      </c>
      <c r="P4" s="46" t="inlineStr">
        <is>
          <t>Set/26</t>
        </is>
      </c>
      <c r="Q4" s="46" t="inlineStr">
        <is>
          <t>Out/26</t>
        </is>
      </c>
      <c r="R4" s="46" t="inlineStr">
        <is>
          <t>Nov/26</t>
        </is>
      </c>
      <c r="S4" s="46" t="inlineStr">
        <is>
          <t>Dez/26</t>
        </is>
      </c>
      <c r="T4" s="46" t="inlineStr">
        <is>
          <t>TOTAL REALIZADO</t>
        </is>
      </c>
      <c r="U4" s="46" t="inlineStr">
        <is>
          <t>Fonte do dado</t>
        </is>
      </c>
      <c r="V4" s="46" t="inlineStr">
        <is>
          <t>Observações do mês</t>
        </is>
      </c>
    </row>
    <row r="5" ht="26" customHeight="1">
      <c r="A5" s="47">
        <f>Planejado!A5</f>
        <v/>
      </c>
      <c r="B5" s="47">
        <f>Planejado!B5</f>
        <v/>
      </c>
      <c r="C5" s="47">
        <f>Planejado!C5</f>
        <v/>
      </c>
      <c r="D5" s="48">
        <f>Planejado!D5</f>
        <v/>
      </c>
      <c r="E5" s="48">
        <f>Planejado!E5</f>
        <v/>
      </c>
      <c r="F5" s="47">
        <f>Planejado!F5</f>
        <v/>
      </c>
      <c r="G5" s="47">
        <f>Planejado!G5</f>
        <v/>
      </c>
      <c r="H5" s="49" t="n"/>
      <c r="I5" s="49" t="n"/>
      <c r="J5" s="49" t="n"/>
      <c r="K5" s="49" t="n"/>
      <c r="L5" s="49" t="n"/>
      <c r="M5" s="49" t="n"/>
      <c r="N5" s="49" t="n"/>
      <c r="O5" s="49" t="n"/>
      <c r="P5" s="49" t="n"/>
      <c r="Q5" s="49" t="n"/>
      <c r="R5" s="49" t="n"/>
      <c r="S5" s="49" t="n"/>
      <c r="T5" s="45">
        <f>SUM(H5:S5)</f>
        <v/>
      </c>
      <c r="U5" s="50" t="n"/>
      <c r="V5" s="50" t="inlineStr">
        <is>
          <t>PREENCHER com o CUSTO TOTAL. Bruto: R$ 2.570,52/mês até jul e R$ 3.070,52 de ago — faltam encargos e benefícios</t>
        </is>
      </c>
    </row>
    <row r="6" ht="26" customHeight="1">
      <c r="A6" s="47">
        <f>Planejado!A6</f>
        <v/>
      </c>
      <c r="B6" s="47">
        <f>Planejado!B6</f>
        <v/>
      </c>
      <c r="C6" s="47">
        <f>Planejado!C6</f>
        <v/>
      </c>
      <c r="D6" s="48">
        <f>Planejado!D6</f>
        <v/>
      </c>
      <c r="E6" s="48">
        <f>Planejado!E6</f>
        <v/>
      </c>
      <c r="F6" s="47">
        <f>Planejado!F6</f>
        <v/>
      </c>
      <c r="G6" s="47">
        <f>Planejado!G6</f>
        <v/>
      </c>
      <c r="H6" s="49" t="n">
        <v>0</v>
      </c>
      <c r="I6" s="49" t="n">
        <v>0</v>
      </c>
      <c r="J6" s="49" t="n">
        <v>0</v>
      </c>
      <c r="K6" s="49" t="n">
        <v>0</v>
      </c>
      <c r="L6" s="49" t="n">
        <v>0</v>
      </c>
      <c r="M6" s="49" t="n">
        <v>0</v>
      </c>
      <c r="N6" s="49" t="n"/>
      <c r="O6" s="49" t="n"/>
      <c r="P6" s="49" t="n"/>
      <c r="Q6" s="49" t="n"/>
      <c r="R6" s="49" t="n"/>
      <c r="S6" s="49" t="n"/>
      <c r="T6" s="45">
        <f>SUM(H6:S6)</f>
        <v/>
      </c>
      <c r="U6" s="50" t="inlineStr">
        <is>
          <t>Gestora, 05/08/26 — competência</t>
        </is>
      </c>
      <c r="V6" s="50" t="inlineStr">
        <is>
          <t>Sem acionamento no período — confirmar se o contrato segue ativo</t>
        </is>
      </c>
    </row>
    <row r="7" ht="26" customHeight="1">
      <c r="A7" s="47">
        <f>Planejado!A7</f>
        <v/>
      </c>
      <c r="B7" s="47">
        <f>Planejado!B7</f>
        <v/>
      </c>
      <c r="C7" s="47">
        <f>Planejado!C7</f>
        <v/>
      </c>
      <c r="D7" s="48">
        <f>Planejado!D7</f>
        <v/>
      </c>
      <c r="E7" s="48">
        <f>Planejado!E7</f>
        <v/>
      </c>
      <c r="F7" s="47">
        <f>Planejado!F7</f>
        <v/>
      </c>
      <c r="G7" s="47">
        <f>Planejado!G7</f>
        <v/>
      </c>
      <c r="H7" s="49" t="n">
        <v>0</v>
      </c>
      <c r="I7" s="49" t="n">
        <v>0</v>
      </c>
      <c r="J7" s="49" t="n">
        <v>0</v>
      </c>
      <c r="K7" s="49" t="n">
        <v>3723.62</v>
      </c>
      <c r="L7" s="49" t="n">
        <v>6173.37</v>
      </c>
      <c r="M7" s="49" t="n">
        <v>6300</v>
      </c>
      <c r="N7" s="49" t="n"/>
      <c r="O7" s="49" t="n"/>
      <c r="P7" s="49" t="n"/>
      <c r="Q7" s="49" t="n"/>
      <c r="R7" s="49" t="n"/>
      <c r="S7" s="49" t="n"/>
      <c r="T7" s="45">
        <f>SUM(H7:S7)</f>
        <v/>
      </c>
      <c r="U7" s="50" t="inlineStr">
        <is>
          <t>Extrato do financeiro</t>
        </is>
      </c>
      <c r="V7" s="50" t="inlineStr">
        <is>
          <t>Serviço de abr, mai e jun (pagos em 01/05, 01/06 e 01/07). Zero em jan–mar: contratação segurada — bate com a entrada em abr</t>
        </is>
      </c>
    </row>
    <row r="8" ht="26" customHeight="1">
      <c r="A8" s="47">
        <f>Planejado!A8</f>
        <v/>
      </c>
      <c r="B8" s="47">
        <f>Planejado!B8</f>
        <v/>
      </c>
      <c r="C8" s="47">
        <f>Planejado!C8</f>
        <v/>
      </c>
      <c r="D8" s="48">
        <f>Planejado!D8</f>
        <v/>
      </c>
      <c r="E8" s="48">
        <f>Planejado!E8</f>
        <v/>
      </c>
      <c r="F8" s="47">
        <f>Planejado!F8</f>
        <v/>
      </c>
      <c r="G8" s="47">
        <f>Planejado!G8</f>
        <v/>
      </c>
      <c r="H8" s="49" t="n">
        <v>0</v>
      </c>
      <c r="I8" s="49" t="n">
        <v>0</v>
      </c>
      <c r="J8" s="49" t="n">
        <v>0</v>
      </c>
      <c r="K8" s="49" t="n">
        <v>0</v>
      </c>
      <c r="L8" s="49" t="n">
        <v>0</v>
      </c>
      <c r="M8" s="49" t="n">
        <v>0</v>
      </c>
      <c r="N8" s="49" t="n">
        <v>0</v>
      </c>
      <c r="O8" s="49" t="n">
        <v>0</v>
      </c>
      <c r="P8" s="49" t="n">
        <v>0</v>
      </c>
      <c r="Q8" s="49" t="n">
        <v>0</v>
      </c>
      <c r="R8" s="49" t="n">
        <v>0</v>
      </c>
      <c r="S8" s="49" t="n">
        <v>0</v>
      </c>
      <c r="T8" s="45">
        <f>SUM(H8:S8)</f>
        <v/>
      </c>
      <c r="U8" s="50" t="inlineStr">
        <is>
          <t>Extrato do financeiro</t>
        </is>
      </c>
      <c r="V8" s="50" t="inlineStr">
        <is>
          <t>Zero no exercício: o pagamento de R$ 4.311,56 em 19/01 (NFS.70) era serviço de dez/25 e, por competência, não pertence a 2026. Vínculo encerrado com a entrada como consultor fixo</t>
        </is>
      </c>
    </row>
    <row r="9" ht="26" customHeight="1">
      <c r="A9" s="47">
        <f>Planejado!A9</f>
        <v/>
      </c>
      <c r="B9" s="47">
        <f>Planejado!B9</f>
        <v/>
      </c>
      <c r="C9" s="47">
        <f>Planejado!C9</f>
        <v/>
      </c>
      <c r="D9" s="48">
        <f>Planejado!D9</f>
        <v/>
      </c>
      <c r="E9" s="48">
        <f>Planejado!E9</f>
        <v/>
      </c>
      <c r="F9" s="47">
        <f>Planejado!F9</f>
        <v/>
      </c>
      <c r="G9" s="47">
        <f>Planejado!G9</f>
        <v/>
      </c>
      <c r="H9" s="49" t="n"/>
      <c r="I9" s="49" t="n"/>
      <c r="J9" s="49" t="n"/>
      <c r="K9" s="49" t="n"/>
      <c r="L9" s="49" t="n"/>
      <c r="M9" s="49" t="n"/>
      <c r="N9" s="49" t="n"/>
      <c r="O9" s="49" t="n"/>
      <c r="P9" s="49" t="n"/>
      <c r="Q9" s="49" t="n"/>
      <c r="R9" s="49" t="n"/>
      <c r="S9" s="49" t="n"/>
      <c r="T9" s="45">
        <f>SUM(H9:S9)</f>
        <v/>
      </c>
      <c r="U9" s="50" t="n"/>
      <c r="V9" s="50" t="n"/>
    </row>
    <row r="10" ht="26" customHeight="1">
      <c r="A10" s="47">
        <f>Planejado!A10</f>
        <v/>
      </c>
      <c r="B10" s="47">
        <f>Planejado!B10</f>
        <v/>
      </c>
      <c r="C10" s="47">
        <f>Planejado!C10</f>
        <v/>
      </c>
      <c r="D10" s="48">
        <f>Planejado!D10</f>
        <v/>
      </c>
      <c r="E10" s="48">
        <f>Planejado!E10</f>
        <v/>
      </c>
      <c r="F10" s="47">
        <f>Planejado!F10</f>
        <v/>
      </c>
      <c r="G10" s="47">
        <f>Planejado!G10</f>
        <v/>
      </c>
      <c r="H10" s="49" t="n"/>
      <c r="I10" s="49" t="n"/>
      <c r="J10" s="49" t="n"/>
      <c r="K10" s="49" t="n"/>
      <c r="L10" s="49" t="n"/>
      <c r="M10" s="49" t="n"/>
      <c r="N10" s="49" t="n"/>
      <c r="O10" s="49" t="n"/>
      <c r="P10" s="49" t="n"/>
      <c r="Q10" s="49" t="n"/>
      <c r="R10" s="49" t="n"/>
      <c r="S10" s="49" t="n"/>
      <c r="T10" s="45">
        <f>SUM(H10:S10)</f>
        <v/>
      </c>
      <c r="U10" s="50" t="n"/>
      <c r="V10" s="50" t="n"/>
    </row>
    <row r="11" ht="26" customHeight="1">
      <c r="A11" s="47">
        <f>Planejado!A11</f>
        <v/>
      </c>
      <c r="B11" s="47">
        <f>Planejado!B11</f>
        <v/>
      </c>
      <c r="C11" s="47">
        <f>Planejado!C11</f>
        <v/>
      </c>
      <c r="D11" s="48">
        <f>Planejado!D11</f>
        <v/>
      </c>
      <c r="E11" s="48">
        <f>Planejado!E11</f>
        <v/>
      </c>
      <c r="F11" s="47">
        <f>Planejado!F11</f>
        <v/>
      </c>
      <c r="G11" s="47">
        <f>Planejado!G11</f>
        <v/>
      </c>
      <c r="H11" s="49" t="n"/>
      <c r="I11" s="49" t="n"/>
      <c r="J11" s="49" t="n"/>
      <c r="K11" s="49" t="n"/>
      <c r="L11" s="49" t="n"/>
      <c r="M11" s="49" t="n"/>
      <c r="N11" s="49" t="n"/>
      <c r="O11" s="49" t="n"/>
      <c r="P11" s="49" t="n"/>
      <c r="Q11" s="49" t="n"/>
      <c r="R11" s="49" t="n"/>
      <c r="S11" s="49" t="n"/>
      <c r="T11" s="45">
        <f>SUM(H11:S11)</f>
        <v/>
      </c>
      <c r="U11" s="50" t="n"/>
      <c r="V11" s="50" t="n"/>
    </row>
    <row r="12" ht="26" customHeight="1">
      <c r="A12" s="47">
        <f>Planejado!A12</f>
        <v/>
      </c>
      <c r="B12" s="47">
        <f>Planejado!B12</f>
        <v/>
      </c>
      <c r="C12" s="47">
        <f>Planejado!C12</f>
        <v/>
      </c>
      <c r="D12" s="48">
        <f>Planejado!D12</f>
        <v/>
      </c>
      <c r="E12" s="48">
        <f>Planejado!E12</f>
        <v/>
      </c>
      <c r="F12" s="47">
        <f>Planejado!F12</f>
        <v/>
      </c>
      <c r="G12" s="47">
        <f>Planejado!G12</f>
        <v/>
      </c>
      <c r="H12" s="49" t="n"/>
      <c r="I12" s="49" t="n"/>
      <c r="J12" s="49" t="n"/>
      <c r="K12" s="49" t="n"/>
      <c r="L12" s="49" t="n"/>
      <c r="M12" s="49" t="n"/>
      <c r="N12" s="49" t="n"/>
      <c r="O12" s="49" t="n"/>
      <c r="P12" s="49" t="n"/>
      <c r="Q12" s="49" t="n"/>
      <c r="R12" s="49" t="n"/>
      <c r="S12" s="49" t="n"/>
      <c r="T12" s="45">
        <f>SUM(H12:S12)</f>
        <v/>
      </c>
      <c r="U12" s="50" t="n"/>
      <c r="V12" s="50" t="n"/>
    </row>
    <row r="13" ht="26" customHeight="1">
      <c r="A13" s="47">
        <f>Planejado!A13</f>
        <v/>
      </c>
      <c r="B13" s="47">
        <f>Planejado!B13</f>
        <v/>
      </c>
      <c r="C13" s="47">
        <f>Planejado!C13</f>
        <v/>
      </c>
      <c r="D13" s="48">
        <f>Planejado!D13</f>
        <v/>
      </c>
      <c r="E13" s="48">
        <f>Planejado!E13</f>
        <v/>
      </c>
      <c r="F13" s="47">
        <f>Planejado!F13</f>
        <v/>
      </c>
      <c r="G13" s="47">
        <f>Planejado!G13</f>
        <v/>
      </c>
      <c r="H13" s="49" t="n"/>
      <c r="I13" s="49" t="n"/>
      <c r="J13" s="49" t="n"/>
      <c r="K13" s="49" t="n"/>
      <c r="L13" s="49" t="n"/>
      <c r="M13" s="49" t="n"/>
      <c r="N13" s="49" t="n"/>
      <c r="O13" s="49" t="n"/>
      <c r="P13" s="49" t="n"/>
      <c r="Q13" s="49" t="n"/>
      <c r="R13" s="49" t="n"/>
      <c r="S13" s="49" t="n"/>
      <c r="T13" s="45">
        <f>SUM(H13:S13)</f>
        <v/>
      </c>
      <c r="U13" s="50" t="n"/>
      <c r="V13" s="50" t="n"/>
    </row>
    <row r="14" ht="26" customHeight="1">
      <c r="A14" s="47">
        <f>Planejado!A14</f>
        <v/>
      </c>
      <c r="B14" s="47">
        <f>Planejado!B14</f>
        <v/>
      </c>
      <c r="C14" s="47">
        <f>Planejado!C14</f>
        <v/>
      </c>
      <c r="D14" s="48">
        <f>Planejado!D14</f>
        <v/>
      </c>
      <c r="E14" s="48">
        <f>Planejado!E14</f>
        <v/>
      </c>
      <c r="F14" s="47">
        <f>Planejado!F14</f>
        <v/>
      </c>
      <c r="G14" s="47">
        <f>Planejado!G14</f>
        <v/>
      </c>
      <c r="H14" s="49" t="n"/>
      <c r="I14" s="49" t="n"/>
      <c r="J14" s="49" t="n"/>
      <c r="K14" s="49" t="n"/>
      <c r="L14" s="49" t="n"/>
      <c r="M14" s="49" t="n"/>
      <c r="N14" s="49" t="n"/>
      <c r="O14" s="49" t="n"/>
      <c r="P14" s="49" t="n"/>
      <c r="Q14" s="49" t="n"/>
      <c r="R14" s="49" t="n"/>
      <c r="S14" s="49" t="n"/>
      <c r="T14" s="45">
        <f>SUM(H14:S14)</f>
        <v/>
      </c>
      <c r="U14" s="50" t="n"/>
      <c r="V14" s="50" t="n"/>
    </row>
    <row r="15" ht="26" customHeight="1">
      <c r="A15" s="47">
        <f>Planejado!A15</f>
        <v/>
      </c>
      <c r="B15" s="47">
        <f>Planejado!B15</f>
        <v/>
      </c>
      <c r="C15" s="47">
        <f>Planejado!C15</f>
        <v/>
      </c>
      <c r="D15" s="48">
        <f>Planejado!D15</f>
        <v/>
      </c>
      <c r="E15" s="48">
        <f>Planejado!E15</f>
        <v/>
      </c>
      <c r="F15" s="47">
        <f>Planejado!F15</f>
        <v/>
      </c>
      <c r="G15" s="47">
        <f>Planejado!G15</f>
        <v/>
      </c>
      <c r="H15" s="49" t="n"/>
      <c r="I15" s="49" t="n"/>
      <c r="J15" s="49" t="n"/>
      <c r="K15" s="49" t="n"/>
      <c r="L15" s="49" t="n"/>
      <c r="M15" s="49" t="n"/>
      <c r="N15" s="49" t="n"/>
      <c r="O15" s="49" t="n"/>
      <c r="P15" s="49" t="n"/>
      <c r="Q15" s="49" t="n"/>
      <c r="R15" s="49" t="n"/>
      <c r="S15" s="49" t="n"/>
      <c r="T15" s="45">
        <f>SUM(H15:S15)</f>
        <v/>
      </c>
      <c r="U15" s="50" t="n"/>
      <c r="V15" s="50" t="n"/>
    </row>
    <row r="16" ht="26" customHeight="1">
      <c r="A16" s="47">
        <f>Planejado!A16</f>
        <v/>
      </c>
      <c r="B16" s="47">
        <f>Planejado!B16</f>
        <v/>
      </c>
      <c r="C16" s="47">
        <f>Planejado!C16</f>
        <v/>
      </c>
      <c r="D16" s="48">
        <f>Planejado!D16</f>
        <v/>
      </c>
      <c r="E16" s="48">
        <f>Planejado!E16</f>
        <v/>
      </c>
      <c r="F16" s="47">
        <f>Planejado!F16</f>
        <v/>
      </c>
      <c r="G16" s="47">
        <f>Planejado!G16</f>
        <v/>
      </c>
      <c r="H16" s="49" t="n"/>
      <c r="I16" s="49" t="n"/>
      <c r="J16" s="49" t="n"/>
      <c r="K16" s="49" t="n"/>
      <c r="L16" s="49" t="n"/>
      <c r="M16" s="49" t="n"/>
      <c r="N16" s="49" t="n"/>
      <c r="O16" s="49" t="n"/>
      <c r="P16" s="49" t="n"/>
      <c r="Q16" s="49" t="n"/>
      <c r="R16" s="49" t="n"/>
      <c r="S16" s="49" t="n"/>
      <c r="T16" s="45">
        <f>SUM(H16:S16)</f>
        <v/>
      </c>
      <c r="U16" s="50" t="n"/>
      <c r="V16" s="50" t="n"/>
    </row>
    <row r="17" ht="26" customHeight="1">
      <c r="A17" s="47">
        <f>Planejado!A17</f>
        <v/>
      </c>
      <c r="B17" s="47">
        <f>Planejado!B17</f>
        <v/>
      </c>
      <c r="C17" s="47">
        <f>Planejado!C17</f>
        <v/>
      </c>
      <c r="D17" s="48">
        <f>Planejado!D17</f>
        <v/>
      </c>
      <c r="E17" s="48">
        <f>Planejado!E17</f>
        <v/>
      </c>
      <c r="F17" s="47">
        <f>Planejado!F17</f>
        <v/>
      </c>
      <c r="G17" s="47">
        <f>Planejado!G17</f>
        <v/>
      </c>
      <c r="H17" s="49" t="n"/>
      <c r="I17" s="49" t="n"/>
      <c r="J17" s="49" t="n"/>
      <c r="K17" s="49" t="n"/>
      <c r="L17" s="49" t="n"/>
      <c r="M17" s="49" t="n"/>
      <c r="N17" s="49" t="n"/>
      <c r="O17" s="49" t="n"/>
      <c r="P17" s="49" t="n"/>
      <c r="Q17" s="49" t="n"/>
      <c r="R17" s="49" t="n"/>
      <c r="S17" s="49" t="n"/>
      <c r="T17" s="45">
        <f>SUM(H17:S17)</f>
        <v/>
      </c>
      <c r="U17" s="50" t="n"/>
      <c r="V17" s="50" t="n"/>
    </row>
    <row r="18" ht="26" customHeight="1">
      <c r="A18" s="47">
        <f>Planejado!A18</f>
        <v/>
      </c>
      <c r="B18" s="47">
        <f>Planejado!B18</f>
        <v/>
      </c>
      <c r="C18" s="47">
        <f>Planejado!C18</f>
        <v/>
      </c>
      <c r="D18" s="48">
        <f>Planejado!D18</f>
        <v/>
      </c>
      <c r="E18" s="48">
        <f>Planejado!E18</f>
        <v/>
      </c>
      <c r="F18" s="47">
        <f>Planejado!F18</f>
        <v/>
      </c>
      <c r="G18" s="47">
        <f>Planejado!G18</f>
        <v/>
      </c>
      <c r="H18" s="49" t="n"/>
      <c r="I18" s="49" t="n"/>
      <c r="J18" s="49" t="n"/>
      <c r="K18" s="49" t="n"/>
      <c r="L18" s="49" t="n"/>
      <c r="M18" s="49" t="n"/>
      <c r="N18" s="49" t="n"/>
      <c r="O18" s="49" t="n"/>
      <c r="P18" s="49" t="n"/>
      <c r="Q18" s="49" t="n"/>
      <c r="R18" s="49" t="n"/>
      <c r="S18" s="49" t="n"/>
      <c r="T18" s="45">
        <f>SUM(H18:S18)</f>
        <v/>
      </c>
      <c r="U18" s="50" t="n"/>
      <c r="V18" s="50" t="n"/>
    </row>
    <row r="19" ht="26" customHeight="1">
      <c r="A19" s="47">
        <f>Planejado!A19</f>
        <v/>
      </c>
      <c r="B19" s="47">
        <f>Planejado!B19</f>
        <v/>
      </c>
      <c r="C19" s="47">
        <f>Planejado!C19</f>
        <v/>
      </c>
      <c r="D19" s="48">
        <f>Planejado!D19</f>
        <v/>
      </c>
      <c r="E19" s="48">
        <f>Planejado!E19</f>
        <v/>
      </c>
      <c r="F19" s="47">
        <f>Planejado!F19</f>
        <v/>
      </c>
      <c r="G19" s="47">
        <f>Planejado!G19</f>
        <v/>
      </c>
      <c r="H19" s="49" t="n"/>
      <c r="I19" s="49" t="n"/>
      <c r="J19" s="49" t="n"/>
      <c r="K19" s="49" t="n"/>
      <c r="L19" s="49" t="n"/>
      <c r="M19" s="49" t="n"/>
      <c r="N19" s="49" t="n"/>
      <c r="O19" s="49" t="n"/>
      <c r="P19" s="49" t="n"/>
      <c r="Q19" s="49" t="n"/>
      <c r="R19" s="49" t="n"/>
      <c r="S19" s="49" t="n"/>
      <c r="T19" s="45">
        <f>SUM(H19:S19)</f>
        <v/>
      </c>
      <c r="U19" s="50" t="n"/>
      <c r="V19" s="50" t="n"/>
    </row>
    <row r="20" ht="26" customHeight="1">
      <c r="A20" s="47">
        <f>Planejado!A20</f>
        <v/>
      </c>
      <c r="B20" s="47">
        <f>Planejado!B20</f>
        <v/>
      </c>
      <c r="C20" s="47">
        <f>Planejado!C20</f>
        <v/>
      </c>
      <c r="D20" s="48">
        <f>Planejado!D20</f>
        <v/>
      </c>
      <c r="E20" s="48">
        <f>Planejado!E20</f>
        <v/>
      </c>
      <c r="F20" s="47">
        <f>Planejado!F20</f>
        <v/>
      </c>
      <c r="G20" s="47">
        <f>Planejado!G20</f>
        <v/>
      </c>
      <c r="H20" s="49" t="n"/>
      <c r="I20" s="49" t="n"/>
      <c r="J20" s="49" t="n"/>
      <c r="K20" s="49" t="n"/>
      <c r="L20" s="49" t="n"/>
      <c r="M20" s="49" t="n"/>
      <c r="N20" s="49" t="n"/>
      <c r="O20" s="49" t="n"/>
      <c r="P20" s="49" t="n"/>
      <c r="Q20" s="49" t="n"/>
      <c r="R20" s="49" t="n"/>
      <c r="S20" s="49" t="n"/>
      <c r="T20" s="45">
        <f>SUM(H20:S20)</f>
        <v/>
      </c>
      <c r="U20" s="50" t="n"/>
      <c r="V20" s="50" t="n"/>
    </row>
    <row r="21" ht="26" customHeight="1">
      <c r="A21" s="47">
        <f>Planejado!A21</f>
        <v/>
      </c>
      <c r="B21" s="47">
        <f>Planejado!B21</f>
        <v/>
      </c>
      <c r="C21" s="47">
        <f>Planejado!C21</f>
        <v/>
      </c>
      <c r="D21" s="48">
        <f>Planejado!D21</f>
        <v/>
      </c>
      <c r="E21" s="48">
        <f>Planejado!E21</f>
        <v/>
      </c>
      <c r="F21" s="47">
        <f>Planejado!F21</f>
        <v/>
      </c>
      <c r="G21" s="47">
        <f>Planejado!G21</f>
        <v/>
      </c>
      <c r="H21" s="49" t="n">
        <v>0</v>
      </c>
      <c r="I21" s="49" t="n">
        <v>0</v>
      </c>
      <c r="J21" s="49" t="n">
        <v>0</v>
      </c>
      <c r="K21" s="49" t="n">
        <v>0</v>
      </c>
      <c r="L21" s="49" t="n">
        <v>0</v>
      </c>
      <c r="M21" s="49" t="n">
        <v>0</v>
      </c>
      <c r="N21" s="49" t="n">
        <v>0</v>
      </c>
      <c r="O21" s="49" t="n"/>
      <c r="P21" s="49" t="n"/>
      <c r="Q21" s="49" t="n"/>
      <c r="R21" s="49" t="n"/>
      <c r="S21" s="49" t="n"/>
      <c r="T21" s="45">
        <f>SUM(H21:S21)</f>
        <v/>
      </c>
      <c r="U21" s="50" t="inlineStr">
        <is>
          <t>Gestora, 05/08/26 — competência</t>
        </is>
      </c>
      <c r="V21" s="50" t="inlineStr">
        <is>
          <t>Ainda não contratado — sem custo até jul/26</t>
        </is>
      </c>
    </row>
    <row r="22" ht="26" customHeight="1">
      <c r="A22" s="47">
        <f>Planejado!A22</f>
        <v/>
      </c>
      <c r="B22" s="47">
        <f>Planejado!B22</f>
        <v/>
      </c>
      <c r="C22" s="47">
        <f>Planejado!C22</f>
        <v/>
      </c>
      <c r="D22" s="48">
        <f>Planejado!D22</f>
        <v/>
      </c>
      <c r="E22" s="48">
        <f>Planejado!E22</f>
        <v/>
      </c>
      <c r="F22" s="47">
        <f>Planejado!F22</f>
        <v/>
      </c>
      <c r="G22" s="47">
        <f>Planejado!G22</f>
        <v/>
      </c>
      <c r="H22" s="49" t="n"/>
      <c r="I22" s="49" t="n"/>
      <c r="J22" s="49" t="n"/>
      <c r="K22" s="49" t="n"/>
      <c r="L22" s="49" t="n"/>
      <c r="M22" s="49" t="n"/>
      <c r="N22" s="49" t="n"/>
      <c r="O22" s="49" t="n"/>
      <c r="P22" s="49" t="n"/>
      <c r="Q22" s="49" t="n"/>
      <c r="R22" s="49" t="n"/>
      <c r="S22" s="49" t="n"/>
      <c r="T22" s="45">
        <f>SUM(H22:S22)</f>
        <v/>
      </c>
      <c r="U22" s="50" t="n"/>
      <c r="V22" s="50" t="n"/>
    </row>
    <row r="23">
      <c r="A23" s="51" t="inlineStr">
        <is>
          <t>TOTAL GERAL</t>
        </is>
      </c>
      <c r="B23" s="51" t="n"/>
      <c r="C23" s="51" t="n"/>
      <c r="D23" s="51" t="n"/>
      <c r="E23" s="51" t="n"/>
      <c r="F23" s="51" t="n"/>
      <c r="G23" s="51" t="n"/>
      <c r="H23" s="52">
        <f>SUM(H5:H22)</f>
        <v/>
      </c>
      <c r="I23" s="52">
        <f>SUM(I5:I22)</f>
        <v/>
      </c>
      <c r="J23" s="52">
        <f>SUM(J5:J22)</f>
        <v/>
      </c>
      <c r="K23" s="52">
        <f>SUM(K5:K22)</f>
        <v/>
      </c>
      <c r="L23" s="52">
        <f>SUM(L5:L22)</f>
        <v/>
      </c>
      <c r="M23" s="52">
        <f>SUM(M5:M22)</f>
        <v/>
      </c>
      <c r="N23" s="52">
        <f>SUM(N5:N22)</f>
        <v/>
      </c>
      <c r="O23" s="52">
        <f>SUM(O5:O22)</f>
        <v/>
      </c>
      <c r="P23" s="52">
        <f>SUM(P5:P22)</f>
        <v/>
      </c>
      <c r="Q23" s="52">
        <f>SUM(Q5:Q22)</f>
        <v/>
      </c>
      <c r="R23" s="52">
        <f>SUM(R5:R22)</f>
        <v/>
      </c>
      <c r="S23" s="52">
        <f>SUM(S5:S22)</f>
        <v/>
      </c>
      <c r="T23" s="52">
        <f>SUM(T5:T22)</f>
        <v/>
      </c>
      <c r="U23" s="51" t="n"/>
      <c r="V23" s="51" t="n"/>
    </row>
  </sheetData>
  <mergeCells count="2">
    <mergeCell ref="A2:V2"/>
    <mergeCell ref="A1:V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2"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30" customHeight="1">
      <c r="A1" s="1" t="inlineStr">
        <is>
          <t>EVOLUÇÃO MENSAL  —  Planejado x Realizado</t>
        </is>
      </c>
    </row>
    <row r="2" ht="18" customHeight="1">
      <c r="A2" s="2" t="inlineStr">
        <is>
          <t>Visão mês a mês do consolidado e por departamento. Alimenta gráficos e a leitura de tendência.</t>
        </is>
      </c>
    </row>
    <row r="4" ht="30" customHeight="1">
      <c r="A4" s="6" t="inlineStr">
        <is>
          <t>Mês</t>
        </is>
      </c>
      <c r="B4" s="6" t="inlineStr">
        <is>
          <t>TI Plan.</t>
        </is>
      </c>
      <c r="C4" s="6" t="inlineStr">
        <is>
          <t>TI Real.</t>
        </is>
      </c>
      <c r="D4" s="6" t="inlineStr">
        <is>
          <t>Total Plan.</t>
        </is>
      </c>
      <c r="E4" s="6" t="inlineStr">
        <is>
          <t>Total Real.</t>
        </is>
      </c>
      <c r="F4" s="6" t="inlineStr">
        <is>
          <t>Desvio do mês (R$)</t>
        </is>
      </c>
      <c r="G4" s="6" t="inlineStr">
        <is>
          <t>Planejado acum.</t>
        </is>
      </c>
      <c r="H4" s="6" t="inlineStr">
        <is>
          <t>Realizado acum.</t>
        </is>
      </c>
    </row>
    <row r="5" ht="20" customHeight="1">
      <c r="A5" s="53" t="inlineStr">
        <is>
          <t>Jan/26</t>
        </is>
      </c>
      <c r="B5" s="54">
        <f>SUMIFS(Planejado!$H$5:$H$22,Planejado!$B$5:$B$22,"TI")</f>
        <v/>
      </c>
      <c r="C5" s="54">
        <f>SUMIFS(Realizado!$H$5:$H$22,Realizado!$B$5:$B$22,"TI")</f>
        <v/>
      </c>
      <c r="D5" s="54">
        <f>B5</f>
        <v/>
      </c>
      <c r="E5" s="54">
        <f>C5</f>
        <v/>
      </c>
      <c r="F5" s="54">
        <f>E5-D5</f>
        <v/>
      </c>
      <c r="G5" s="54">
        <f>SUM($D$5:D5)</f>
        <v/>
      </c>
      <c r="H5" s="54">
        <f>SUM($E$5:E5)</f>
        <v/>
      </c>
    </row>
    <row r="6" ht="20" customHeight="1">
      <c r="A6" s="55" t="inlineStr">
        <is>
          <t>Fev/26</t>
        </is>
      </c>
      <c r="B6" s="37">
        <f>SUMIFS(Planejado!$I$5:$I$22,Planejado!$B$5:$B$22,"TI")</f>
        <v/>
      </c>
      <c r="C6" s="37">
        <f>SUMIFS(Realizado!$I$5:$I$22,Realizado!$B$5:$B$22,"TI")</f>
        <v/>
      </c>
      <c r="D6" s="37">
        <f>B6</f>
        <v/>
      </c>
      <c r="E6" s="37">
        <f>C6</f>
        <v/>
      </c>
      <c r="F6" s="37">
        <f>E6-D6</f>
        <v/>
      </c>
      <c r="G6" s="37">
        <f>SUM($D$5:D6)</f>
        <v/>
      </c>
      <c r="H6" s="37">
        <f>SUM($E$5:E6)</f>
        <v/>
      </c>
    </row>
    <row r="7" ht="20" customHeight="1">
      <c r="A7" s="53" t="inlineStr">
        <is>
          <t>Mar/26</t>
        </is>
      </c>
      <c r="B7" s="54">
        <f>SUMIFS(Planejado!$J$5:$J$22,Planejado!$B$5:$B$22,"TI")</f>
        <v/>
      </c>
      <c r="C7" s="54">
        <f>SUMIFS(Realizado!$J$5:$J$22,Realizado!$B$5:$B$22,"TI")</f>
        <v/>
      </c>
      <c r="D7" s="54">
        <f>B7</f>
        <v/>
      </c>
      <c r="E7" s="54">
        <f>C7</f>
        <v/>
      </c>
      <c r="F7" s="54">
        <f>E7-D7</f>
        <v/>
      </c>
      <c r="G7" s="54">
        <f>SUM($D$5:D7)</f>
        <v/>
      </c>
      <c r="H7" s="54">
        <f>SUM($E$5:E7)</f>
        <v/>
      </c>
    </row>
    <row r="8" ht="20" customHeight="1">
      <c r="A8" s="55" t="inlineStr">
        <is>
          <t>Abr/26</t>
        </is>
      </c>
      <c r="B8" s="37">
        <f>SUMIFS(Planejado!$K$5:$K$22,Planejado!$B$5:$B$22,"TI")</f>
        <v/>
      </c>
      <c r="C8" s="37">
        <f>SUMIFS(Realizado!$K$5:$K$22,Realizado!$B$5:$B$22,"TI")</f>
        <v/>
      </c>
      <c r="D8" s="37">
        <f>B8</f>
        <v/>
      </c>
      <c r="E8" s="37">
        <f>C8</f>
        <v/>
      </c>
      <c r="F8" s="37">
        <f>E8-D8</f>
        <v/>
      </c>
      <c r="G8" s="37">
        <f>SUM($D$5:D8)</f>
        <v/>
      </c>
      <c r="H8" s="37">
        <f>SUM($E$5:E8)</f>
        <v/>
      </c>
    </row>
    <row r="9" ht="20" customHeight="1">
      <c r="A9" s="53" t="inlineStr">
        <is>
          <t>Mai/26</t>
        </is>
      </c>
      <c r="B9" s="54">
        <f>SUMIFS(Planejado!$L$5:$L$22,Planejado!$B$5:$B$22,"TI")</f>
        <v/>
      </c>
      <c r="C9" s="54">
        <f>SUMIFS(Realizado!$L$5:$L$22,Realizado!$B$5:$B$22,"TI")</f>
        <v/>
      </c>
      <c r="D9" s="54">
        <f>B9</f>
        <v/>
      </c>
      <c r="E9" s="54">
        <f>C9</f>
        <v/>
      </c>
      <c r="F9" s="54">
        <f>E9-D9</f>
        <v/>
      </c>
      <c r="G9" s="54">
        <f>SUM($D$5:D9)</f>
        <v/>
      </c>
      <c r="H9" s="54">
        <f>SUM($E$5:E9)</f>
        <v/>
      </c>
    </row>
    <row r="10" ht="20" customHeight="1">
      <c r="A10" s="55" t="inlineStr">
        <is>
          <t>Jun/26</t>
        </is>
      </c>
      <c r="B10" s="37">
        <f>SUMIFS(Planejado!$M$5:$M$22,Planejado!$B$5:$B$22,"TI")</f>
        <v/>
      </c>
      <c r="C10" s="37">
        <f>SUMIFS(Realizado!$M$5:$M$22,Realizado!$B$5:$B$22,"TI")</f>
        <v/>
      </c>
      <c r="D10" s="37">
        <f>B10</f>
        <v/>
      </c>
      <c r="E10" s="37">
        <f>C10</f>
        <v/>
      </c>
      <c r="F10" s="37">
        <f>E10-D10</f>
        <v/>
      </c>
      <c r="G10" s="37">
        <f>SUM($D$5:D10)</f>
        <v/>
      </c>
      <c r="H10" s="37">
        <f>SUM($E$5:E10)</f>
        <v/>
      </c>
    </row>
    <row r="11" ht="20" customHeight="1">
      <c r="A11" s="53" t="inlineStr">
        <is>
          <t>Jul/26</t>
        </is>
      </c>
      <c r="B11" s="54">
        <f>SUMIFS(Planejado!$N$5:$N$22,Planejado!$B$5:$B$22,"TI")</f>
        <v/>
      </c>
      <c r="C11" s="54">
        <f>SUMIFS(Realizado!$N$5:$N$22,Realizado!$B$5:$B$22,"TI")</f>
        <v/>
      </c>
      <c r="D11" s="54">
        <f>B11</f>
        <v/>
      </c>
      <c r="E11" s="54">
        <f>C11</f>
        <v/>
      </c>
      <c r="F11" s="54">
        <f>E11-D11</f>
        <v/>
      </c>
      <c r="G11" s="54">
        <f>SUM($D$5:D11)</f>
        <v/>
      </c>
      <c r="H11" s="54">
        <f>SUM($E$5:E11)</f>
        <v/>
      </c>
    </row>
    <row r="12" ht="20" customHeight="1">
      <c r="A12" s="55" t="inlineStr">
        <is>
          <t>Ago/26</t>
        </is>
      </c>
      <c r="B12" s="37">
        <f>SUMIFS(Planejado!$O$5:$O$22,Planejado!$B$5:$B$22,"TI")</f>
        <v/>
      </c>
      <c r="C12" s="37">
        <f>SUMIFS(Realizado!$O$5:$O$22,Realizado!$B$5:$B$22,"TI")</f>
        <v/>
      </c>
      <c r="D12" s="37">
        <f>B12</f>
        <v/>
      </c>
      <c r="E12" s="37">
        <f>C12</f>
        <v/>
      </c>
      <c r="F12" s="37">
        <f>E12-D12</f>
        <v/>
      </c>
      <c r="G12" s="37">
        <f>SUM($D$5:D12)</f>
        <v/>
      </c>
      <c r="H12" s="37">
        <f>SUM($E$5:E12)</f>
        <v/>
      </c>
    </row>
    <row r="13" ht="20" customHeight="1">
      <c r="A13" s="53" t="inlineStr">
        <is>
          <t>Set/26</t>
        </is>
      </c>
      <c r="B13" s="54">
        <f>SUMIFS(Planejado!$P$5:$P$22,Planejado!$B$5:$B$22,"TI")</f>
        <v/>
      </c>
      <c r="C13" s="54">
        <f>SUMIFS(Realizado!$P$5:$P$22,Realizado!$B$5:$B$22,"TI")</f>
        <v/>
      </c>
      <c r="D13" s="54">
        <f>B13</f>
        <v/>
      </c>
      <c r="E13" s="54">
        <f>C13</f>
        <v/>
      </c>
      <c r="F13" s="54">
        <f>E13-D13</f>
        <v/>
      </c>
      <c r="G13" s="54">
        <f>SUM($D$5:D13)</f>
        <v/>
      </c>
      <c r="H13" s="54">
        <f>SUM($E$5:E13)</f>
        <v/>
      </c>
    </row>
    <row r="14" ht="20" customHeight="1">
      <c r="A14" s="55" t="inlineStr">
        <is>
          <t>Out/26</t>
        </is>
      </c>
      <c r="B14" s="37">
        <f>SUMIFS(Planejado!$Q$5:$Q$22,Planejado!$B$5:$B$22,"TI")</f>
        <v/>
      </c>
      <c r="C14" s="37">
        <f>SUMIFS(Realizado!$Q$5:$Q$22,Realizado!$B$5:$B$22,"TI")</f>
        <v/>
      </c>
      <c r="D14" s="37">
        <f>B14</f>
        <v/>
      </c>
      <c r="E14" s="37">
        <f>C14</f>
        <v/>
      </c>
      <c r="F14" s="37">
        <f>E14-D14</f>
        <v/>
      </c>
      <c r="G14" s="37">
        <f>SUM($D$5:D14)</f>
        <v/>
      </c>
      <c r="H14" s="37">
        <f>SUM($E$5:E14)</f>
        <v/>
      </c>
    </row>
    <row r="15" ht="20" customHeight="1">
      <c r="A15" s="53" t="inlineStr">
        <is>
          <t>Nov/26</t>
        </is>
      </c>
      <c r="B15" s="54">
        <f>SUMIFS(Planejado!$R$5:$R$22,Planejado!$B$5:$B$22,"TI")</f>
        <v/>
      </c>
      <c r="C15" s="54">
        <f>SUMIFS(Realizado!$R$5:$R$22,Realizado!$B$5:$B$22,"TI")</f>
        <v/>
      </c>
      <c r="D15" s="54">
        <f>B15</f>
        <v/>
      </c>
      <c r="E15" s="54">
        <f>C15</f>
        <v/>
      </c>
      <c r="F15" s="54">
        <f>E15-D15</f>
        <v/>
      </c>
      <c r="G15" s="54">
        <f>SUM($D$5:D15)</f>
        <v/>
      </c>
      <c r="H15" s="54">
        <f>SUM($E$5:E15)</f>
        <v/>
      </c>
    </row>
    <row r="16" ht="20" customHeight="1">
      <c r="A16" s="55" t="inlineStr">
        <is>
          <t>Dez/26</t>
        </is>
      </c>
      <c r="B16" s="37">
        <f>SUMIFS(Planejado!$S$5:$S$22,Planejado!$B$5:$B$22,"TI")</f>
        <v/>
      </c>
      <c r="C16" s="37">
        <f>SUMIFS(Realizado!$S$5:$S$22,Realizado!$B$5:$B$22,"TI")</f>
        <v/>
      </c>
      <c r="D16" s="37">
        <f>B16</f>
        <v/>
      </c>
      <c r="E16" s="37">
        <f>C16</f>
        <v/>
      </c>
      <c r="F16" s="37">
        <f>E16-D16</f>
        <v/>
      </c>
      <c r="G16" s="37">
        <f>SUM($D$5:D16)</f>
        <v/>
      </c>
      <c r="H16" s="37">
        <f>SUM($E$5:E16)</f>
        <v/>
      </c>
    </row>
    <row r="17">
      <c r="A17" s="42" t="inlineStr">
        <is>
          <t>TOTAL</t>
        </is>
      </c>
      <c r="B17" s="43">
        <f>SUM(B5:B16)</f>
        <v/>
      </c>
      <c r="C17" s="43">
        <f>SUM(C5:C16)</f>
        <v/>
      </c>
      <c r="D17" s="43">
        <f>SUM(D5:D16)</f>
        <v/>
      </c>
      <c r="E17" s="43">
        <f>SUM(E5:E16)</f>
        <v/>
      </c>
      <c r="F17" s="43">
        <f>SUM(F5:F16)</f>
        <v/>
      </c>
      <c r="G17" s="42" t="n"/>
      <c r="H17" s="42" t="n"/>
    </row>
  </sheetData>
  <mergeCells count="2">
    <mergeCell ref="A1:J1"/>
    <mergeCell ref="A2:J2"/>
  </mergeCells>
  <conditionalFormatting sqref="F5:F16">
    <cfRule type="cellIs" priority="1" operator="greaterThan" dxfId="0">
      <formula>0</formula>
    </cfRule>
    <cfRule type="cellIs" priority="2" operator="lessThan" dxfId="1">
      <formula>0</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2" customWidth="1" min="7" max="7"/>
    <col width="18" customWidth="1" min="8" max="8"/>
  </cols>
  <sheetData>
    <row r="1" ht="30" customHeight="1">
      <c r="A1" s="1" t="inlineStr">
        <is>
          <t>RESUMO POR PLANO DE CONTAS</t>
        </is>
      </c>
    </row>
    <row r="2" ht="18" customHeight="1">
      <c r="A2" s="2" t="inlineStr">
        <is>
          <t>Mesma referência de mês da aba Comparativo (B3). Serve para conversar com o financeiro na linguagem do plano de contas.</t>
        </is>
      </c>
    </row>
    <row r="4" ht="30" customHeight="1">
      <c r="A4" s="6" t="inlineStr">
        <is>
          <t>Plano de Contas</t>
        </is>
      </c>
      <c r="B4" s="6" t="inlineStr">
        <is>
          <t>TI — Plan.</t>
        </is>
      </c>
      <c r="C4" s="6" t="inlineStr">
        <is>
          <t>TI — Real.</t>
        </is>
      </c>
      <c r="D4" s="6" t="inlineStr">
        <is>
          <t>Total Planejado acum.</t>
        </is>
      </c>
      <c r="E4" s="6" t="inlineStr">
        <is>
          <t>Total Realizado acum.</t>
        </is>
      </c>
      <c r="F4" s="6" t="inlineStr">
        <is>
          <t>Desvio (R$)</t>
        </is>
      </c>
      <c r="G4" s="6" t="inlineStr">
        <is>
          <t>Desvio (%)</t>
        </is>
      </c>
      <c r="H4" s="6" t="inlineStr">
        <is>
          <t>Orçado do ano</t>
        </is>
      </c>
    </row>
    <row r="5" ht="20" customHeight="1">
      <c r="A5" s="56" t="inlineStr">
        <is>
          <t>Pessoal - CLT</t>
        </is>
      </c>
      <c r="B5" s="54">
        <f>SUMIFS(Comparativo!$I$6:$I$23,Comparativo!$E$6:$E$23,$A5,Comparativo!$B$6:$B$23,"TI")</f>
        <v/>
      </c>
      <c r="C5" s="54">
        <f>SUMIFS(Comparativo!$J$6:$J$23,Comparativo!$E$6:$E$23,$A5,Comparativo!$B$6:$B$23,"TI")</f>
        <v/>
      </c>
      <c r="D5" s="54">
        <f>B5</f>
        <v/>
      </c>
      <c r="E5" s="54">
        <f>C5</f>
        <v/>
      </c>
      <c r="F5" s="54">
        <f>E5-D5</f>
        <v/>
      </c>
      <c r="G5" s="57">
        <f>IFERROR(F5/D5,"")</f>
        <v/>
      </c>
      <c r="H5" s="54">
        <f>SUMIFS(Planejado!$T$5:$T$22,Planejado!$G$5:$G$22,$A5)</f>
        <v/>
      </c>
    </row>
    <row r="6" ht="20" customHeight="1">
      <c r="A6" s="58" t="inlineStr">
        <is>
          <t>Pessoal - PJ</t>
        </is>
      </c>
      <c r="B6" s="37">
        <f>SUMIFS(Comparativo!$I$6:$I$23,Comparativo!$E$6:$E$23,$A6,Comparativo!$B$6:$B$23,"TI")</f>
        <v/>
      </c>
      <c r="C6" s="37">
        <f>SUMIFS(Comparativo!$J$6:$J$23,Comparativo!$E$6:$E$23,$A6,Comparativo!$B$6:$B$23,"TI")</f>
        <v/>
      </c>
      <c r="D6" s="37">
        <f>B6</f>
        <v/>
      </c>
      <c r="E6" s="37">
        <f>C6</f>
        <v/>
      </c>
      <c r="F6" s="37">
        <f>E6-D6</f>
        <v/>
      </c>
      <c r="G6" s="59">
        <f>IFERROR(F6/D6,"")</f>
        <v/>
      </c>
      <c r="H6" s="37">
        <f>SUMIFS(Planejado!$T$5:$T$22,Planejado!$G$5:$G$22,$A6)</f>
        <v/>
      </c>
    </row>
    <row r="7" ht="20" customHeight="1">
      <c r="A7" s="56" t="inlineStr">
        <is>
          <t>Licenças de Softwares</t>
        </is>
      </c>
      <c r="B7" s="54">
        <f>SUMIFS(Comparativo!$I$6:$I$23,Comparativo!$E$6:$E$23,$A7,Comparativo!$B$6:$B$23,"TI")</f>
        <v/>
      </c>
      <c r="C7" s="54">
        <f>SUMIFS(Comparativo!$J$6:$J$23,Comparativo!$E$6:$E$23,$A7,Comparativo!$B$6:$B$23,"TI")</f>
        <v/>
      </c>
      <c r="D7" s="54">
        <f>B7</f>
        <v/>
      </c>
      <c r="E7" s="54">
        <f>C7</f>
        <v/>
      </c>
      <c r="F7" s="54">
        <f>E7-D7</f>
        <v/>
      </c>
      <c r="G7" s="57">
        <f>IFERROR(F7/D7,"")</f>
        <v/>
      </c>
      <c r="H7" s="54">
        <f>SUMIFS(Planejado!$T$5:$T$22,Planejado!$G$5:$G$22,$A7)</f>
        <v/>
      </c>
    </row>
    <row r="8" ht="20" customHeight="1">
      <c r="A8" s="58" t="inlineStr">
        <is>
          <t>Custeio de Treinamento</t>
        </is>
      </c>
      <c r="B8" s="37">
        <f>SUMIFS(Comparativo!$I$6:$I$23,Comparativo!$E$6:$E$23,$A8,Comparativo!$B$6:$B$23,"TI")</f>
        <v/>
      </c>
      <c r="C8" s="37">
        <f>SUMIFS(Comparativo!$J$6:$J$23,Comparativo!$E$6:$E$23,$A8,Comparativo!$B$6:$B$23,"TI")</f>
        <v/>
      </c>
      <c r="D8" s="37">
        <f>B8</f>
        <v/>
      </c>
      <c r="E8" s="37">
        <f>C8</f>
        <v/>
      </c>
      <c r="F8" s="37">
        <f>E8-D8</f>
        <v/>
      </c>
      <c r="G8" s="59">
        <f>IFERROR(F8/D8,"")</f>
        <v/>
      </c>
      <c r="H8" s="37">
        <f>SUMIFS(Planejado!$T$5:$T$22,Planejado!$G$5:$G$22,$A8)</f>
        <v/>
      </c>
    </row>
    <row r="9" ht="20" customHeight="1">
      <c r="A9" s="56" t="inlineStr">
        <is>
          <t>Prêmios</t>
        </is>
      </c>
      <c r="B9" s="54">
        <f>SUMIFS(Comparativo!$I$6:$I$23,Comparativo!$E$6:$E$23,$A9,Comparativo!$B$6:$B$23,"TI")</f>
        <v/>
      </c>
      <c r="C9" s="54">
        <f>SUMIFS(Comparativo!$J$6:$J$23,Comparativo!$E$6:$E$23,$A9,Comparativo!$B$6:$B$23,"TI")</f>
        <v/>
      </c>
      <c r="D9" s="54">
        <f>B9</f>
        <v/>
      </c>
      <c r="E9" s="54">
        <f>C9</f>
        <v/>
      </c>
      <c r="F9" s="54">
        <f>E9-D9</f>
        <v/>
      </c>
      <c r="G9" s="57">
        <f>IFERROR(F9/D9,"")</f>
        <v/>
      </c>
      <c r="H9" s="54">
        <f>SUMIFS(Planejado!$T$5:$T$22,Planejado!$G$5:$G$22,$A9)</f>
        <v/>
      </c>
    </row>
    <row r="10" ht="20" customHeight="1">
      <c r="A10" s="58" t="inlineStr">
        <is>
          <t>Equipamentos Eletrônicos Diversos</t>
        </is>
      </c>
      <c r="B10" s="37">
        <f>SUMIFS(Comparativo!$I$6:$I$23,Comparativo!$E$6:$E$23,$A10,Comparativo!$B$6:$B$23,"TI")</f>
        <v/>
      </c>
      <c r="C10" s="37">
        <f>SUMIFS(Comparativo!$J$6:$J$23,Comparativo!$E$6:$E$23,$A10,Comparativo!$B$6:$B$23,"TI")</f>
        <v/>
      </c>
      <c r="D10" s="37">
        <f>B10</f>
        <v/>
      </c>
      <c r="E10" s="37">
        <f>C10</f>
        <v/>
      </c>
      <c r="F10" s="37">
        <f>E10-D10</f>
        <v/>
      </c>
      <c r="G10" s="59">
        <f>IFERROR(F10/D10,"")</f>
        <v/>
      </c>
      <c r="H10" s="37">
        <f>SUMIFS(Planejado!$T$5:$T$22,Planejado!$G$5:$G$22,$A10)</f>
        <v/>
      </c>
    </row>
    <row r="11" ht="20" customHeight="1">
      <c r="A11" s="56" t="inlineStr">
        <is>
          <t>Móveis e Utensílios</t>
        </is>
      </c>
      <c r="B11" s="54">
        <f>SUMIFS(Comparativo!$I$6:$I$23,Comparativo!$E$6:$E$23,$A11,Comparativo!$B$6:$B$23,"TI")</f>
        <v/>
      </c>
      <c r="C11" s="54">
        <f>SUMIFS(Comparativo!$J$6:$J$23,Comparativo!$E$6:$E$23,$A11,Comparativo!$B$6:$B$23,"TI")</f>
        <v/>
      </c>
      <c r="D11" s="54">
        <f>B11</f>
        <v/>
      </c>
      <c r="E11" s="54">
        <f>C11</f>
        <v/>
      </c>
      <c r="F11" s="54">
        <f>E11-D11</f>
        <v/>
      </c>
      <c r="G11" s="57">
        <f>IFERROR(F11/D11,"")</f>
        <v/>
      </c>
      <c r="H11" s="54">
        <f>SUMIFS(Planejado!$T$5:$T$22,Planejado!$G$5:$G$22,$A11)</f>
        <v/>
      </c>
    </row>
    <row r="12">
      <c r="A12" s="42" t="inlineStr">
        <is>
          <t>TOTAL</t>
        </is>
      </c>
      <c r="B12" s="43">
        <f>SUM(B5:B11)</f>
        <v/>
      </c>
      <c r="C12" s="43">
        <f>SUM(C5:C11)</f>
        <v/>
      </c>
      <c r="D12" s="43">
        <f>SUM(D5:D11)</f>
        <v/>
      </c>
      <c r="E12" s="43">
        <f>SUM(E5:E11)</f>
        <v/>
      </c>
      <c r="F12" s="43">
        <f>SUM(F5:F11)</f>
        <v/>
      </c>
      <c r="G12" s="60">
        <f>IFERROR(F12/D12,"")</f>
        <v/>
      </c>
      <c r="H12" s="43">
        <f>SUM(H5:H11)</f>
        <v/>
      </c>
    </row>
  </sheetData>
  <mergeCells count="2">
    <mergeCell ref="A2:G2"/>
    <mergeCell ref="A1:G1"/>
  </mergeCells>
  <conditionalFormatting sqref="F5:F11">
    <cfRule type="cellIs" priority="1" operator="greaterThan" dxfId="0">
      <formula>0</formula>
    </cfRule>
    <cfRule type="cellIs" priority="2" operator="lessThan" dxfId="1">
      <formula>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 customWidth="1" min="1" max="1"/>
    <col width="30" customWidth="1" min="2" max="2"/>
    <col width="52" customWidth="1" min="3" max="3"/>
    <col width="52" customWidth="1" min="4" max="4"/>
    <col width="22" customWidth="1" min="5" max="5"/>
    <col width="14" customWidth="1" min="6" max="6"/>
  </cols>
  <sheetData>
    <row r="1" ht="30" customHeight="1">
      <c r="A1" s="1" t="inlineStr">
        <is>
          <t>PENDÊNCIAS E DECISÕES EM ABERTO</t>
        </is>
      </c>
    </row>
    <row r="2" ht="18" customHeight="1">
      <c r="A2" s="2" t="inlineStr">
        <is>
          <t>Pontos que precisam ser fechados para o comparativo ficar confiável. Atualize a coluna Status conforme forem resolvidos.</t>
        </is>
      </c>
    </row>
    <row r="4" ht="30" customHeight="1">
      <c r="A4" s="6" t="inlineStr">
        <is>
          <t>#</t>
        </is>
      </c>
      <c r="B4" s="6" t="inlineStr">
        <is>
          <t>Tema</t>
        </is>
      </c>
      <c r="C4" s="6" t="inlineStr">
        <is>
          <t>O que está em aberto</t>
        </is>
      </c>
      <c r="D4" s="6" t="inlineStr">
        <is>
          <t>Impacto no comparativo</t>
        </is>
      </c>
      <c r="E4" s="6" t="inlineStr">
        <is>
          <t>Responsável</t>
        </is>
      </c>
      <c r="F4" s="6" t="inlineStr">
        <is>
          <t>Status</t>
        </is>
      </c>
    </row>
    <row r="5" ht="58" customHeight="1">
      <c r="A5" s="61" t="inlineStr">
        <is>
          <t>B</t>
        </is>
      </c>
      <c r="B5" s="62" t="inlineStr">
        <is>
          <t>Vinicius — custo total A LANÇAR</t>
        </is>
      </c>
      <c r="C5" s="62" t="inlineStr">
        <is>
          <t>Mesmo caso da Geovanna. O planejado é R$ 5.416,525/mês (custo total). Brutos confirmados: R$ 2.570,52 até jul/26 e R$ 3.070,52 a partir de 05/08/26 — o aumento é absorvido pela folga do envelope, que já previa reajuste, então o orçado não muda. O realizado está em branco.</t>
        </is>
      </c>
      <c r="D5" s="62" t="inlineStr">
        <is>
          <t>A folga do orçado NÃO é economia estrutural. Com o bruto de agosto, sobram R$ 2.346,01 para encargos, o que equivale a 76% sobre o bruto — dentro da faixa normal (67% a 80%), então pode sobrar ou estourar. Só o custo total real vai dizer.</t>
        </is>
      </c>
      <c r="E5" s="62" t="inlineStr">
        <is>
          <t>Cristiane + RH</t>
        </is>
      </c>
      <c r="F5" s="63" t="inlineStr">
        <is>
          <t>A LANÇAR</t>
        </is>
      </c>
    </row>
    <row r="6" ht="58" customHeight="1">
      <c r="A6" s="64" t="inlineStr">
        <is>
          <t>F</t>
        </is>
      </c>
      <c r="B6" s="65" t="inlineStr">
        <is>
          <t>Jonathan — economia de R$ 53.803 até julho</t>
        </is>
      </c>
      <c r="C6" s="65" t="inlineStr">
        <is>
          <t>Orçado R$ 10.000/mês desde jan/26, com a contratação segurada até abr/26, quando ele passou a atuar como consultor fixo, 3 dias por semana. Realizado de R$ 16.196,99 em jan–jul (pagamentos de mai, jun e jul) contra R$ 70.000 orçados. O vínculo anterior, de serviços esporádicos prestados de fora, foi separado na linha TI-E04.</t>
        </is>
      </c>
      <c r="D6" s="65" t="inlineStr">
        <is>
          <t>É de longe a maior economia das duas áreas: R$ 53.803,01 em sete meses, e decorre de decisão de gestão, não de erro de orçamento. Vale destacar na apresentação. A CONFERIR: mai e jun saíram abaixo de R$ 6.300 (R$ 3.723,62 e R$ 6.173,37) — verificar se foi proporcional aos dias trabalhados no início do contrato.</t>
        </is>
      </c>
      <c r="E6" s="65" t="inlineStr">
        <is>
          <t>Cristiane</t>
        </is>
      </c>
      <c r="F6" s="66" t="inlineStr">
        <is>
          <t>CONFERIR</t>
        </is>
      </c>
    </row>
    <row r="7" ht="58" customHeight="1">
      <c r="A7" s="61" t="inlineStr">
        <is>
          <t>Z</t>
        </is>
      </c>
      <c r="B7" s="62" t="inlineStr">
        <is>
          <t>Serviços esporádicos do Monitor Remoto — fora do orçamento</t>
        </is>
      </c>
      <c r="C7" s="62" t="inlineStr">
        <is>
          <t>Antes de entrar como consultor fixo, o mesmo prestador atendia de fora, em serviços esporádicos. Consta um pagamento de R$ 4.311,56 em 19/01/26 (NFS.70), provavelmente referente a dez/25 pelo regime de caixa. Esse vínculo não estava na ficha de orçamento e foi encerrado em abr/26.</t>
        </is>
      </c>
      <c r="D7" s="62" t="inlineStr">
        <is>
          <t>Linha TI-E04 criada com planejado zero, então o valor aparece como 'Não orçado'. Como o vínculo acabou, não haverá novos lançamentos — a linha existe para o histórico não se misturar com a consultoria fixa. Confirmar se houve pagamento esporádico em fev e mar que não caiu no centro de custo do TI.</t>
        </is>
      </c>
      <c r="E7" s="62" t="inlineStr">
        <is>
          <t>Cristiane</t>
        </is>
      </c>
      <c r="F7" s="66" t="inlineStr">
        <is>
          <t>CONFERIR</t>
        </is>
      </c>
    </row>
    <row r="8" ht="58" customHeight="1">
      <c r="A8" s="64" t="inlineStr">
        <is>
          <t>G</t>
        </is>
      </c>
      <c r="B8" s="65" t="inlineStr">
        <is>
          <t>Elias Benedito — sem custo até jul, renegociado para set</t>
        </is>
      </c>
      <c r="C8" s="65" t="inlineStr">
        <is>
          <t>Orçado R$ 1.065/mês, realizado R$ 0 de jan a jul — contrato ativo, mas sem acionamento no período (confirmado pela gestora). O pagamento passa a ocorrer agora, e a partir de set/26 o valor foi renegociado de R$ 1.065 para R$ 603,30.</t>
        </is>
      </c>
      <c r="D8" s="65" t="inlineStr">
        <is>
          <t>Duas economias na mesma linha: R$ 7.455 pelos sete meses sem acionamento, e R$ 461,70/mês (43%) a partir de set pela renegociação — R$ 1.846,80 no ano. O planejado já reflete o valor novo de set a dez.</t>
        </is>
      </c>
      <c r="E8" s="65" t="inlineStr">
        <is>
          <t>Cristiane</t>
        </is>
      </c>
      <c r="F8" s="67" t="inlineStr">
        <is>
          <t>RESOLVIDO</t>
        </is>
      </c>
    </row>
    <row r="9" ht="58" customHeight="1">
      <c r="A9" s="61" t="inlineStr">
        <is>
          <t>H</t>
        </is>
      </c>
      <c r="B9" s="62" t="inlineStr">
        <is>
          <t>Planejado de jan a abr — conferido</t>
        </is>
      </c>
      <c r="C9" s="62" t="inlineStr">
        <is>
          <t>O 1º quadrimestre foi preenchido replicando os valores mensais conhecidos, porque a ficha original só trazia o grid de mai a dez. Exceções tratadas: Jonathan começa em abr, Thamar a R$ 5.000 (pré-reajuste), Vinicius com bruto de R$ 2.570,52 e Adapta a R$ 1.300 (valor até jun).</t>
        </is>
      </c>
      <c r="D9" s="62" t="inlineStr">
        <is>
          <t>Conferido e validado pela gestora: os valores replicados estão corretos, nenhum ajuste necessário.</t>
        </is>
      </c>
      <c r="E9" s="62" t="inlineStr">
        <is>
          <t>Cristiane</t>
        </is>
      </c>
      <c r="F9" s="67" t="inlineStr">
        <is>
          <t>APLICADO</t>
        </is>
      </c>
    </row>
    <row r="10" ht="58" customHeight="1">
      <c r="A10" s="64" t="inlineStr">
        <is>
          <t>I</t>
        </is>
      </c>
      <c r="B10" s="65" t="inlineStr">
        <is>
          <t>Realizado de ago a dez — a lançar no decorrer do ano</t>
        </is>
      </c>
      <c r="C10" s="65" t="inlineStr">
        <is>
          <t>Jan a jul estão lançados. Ago a dez ficam em branco e serão preenchidos conforme os meses fecharem, com a extração do SIENGE.</t>
        </is>
      </c>
      <c r="D10" s="65" t="inlineStr">
        <is>
          <t>Enquanto isso, o mês de referência do Comparativo deve ficar no último mês fechado (hoje Jul/26) — assim o acumulado compara períodos iguais dos dois lados.</t>
        </is>
      </c>
      <c r="E10" s="65" t="inlineStr">
        <is>
          <t>Cristiane</t>
        </is>
      </c>
      <c r="F10" s="67" t="inlineStr">
        <is>
          <t>APLICADO</t>
        </is>
      </c>
    </row>
    <row r="11" ht="58" customHeight="1">
      <c r="A11" s="61" t="inlineStr">
        <is>
          <t>M</t>
        </is>
      </c>
      <c r="B11" s="62" t="inlineStr">
        <is>
          <t>Despesas fora do orçamento identificadas no extrato</t>
        </is>
      </c>
      <c r="C11" s="62" t="inlineStr">
        <is>
          <t>O extrato do financeiro traz gastos relevantes sem linha na ficha. Jurídico: Carneiro Rabelo (R$ 107.742) e Cristiane Carneiro Rabelo (R$ 94.825), somando R$ 202.567 em sete meses; mais Tribunal de Justiça (R$ 49.244), Michele de Oliveira (R$ 23.572) e ONR (R$ 22.576). TI: um bloco de telefonia e infraestrutura de cerca de R$ 15.700 (Claro, TIM, Telefônica, Locaweb, Web Mobile, Sabha, Intelbras, VC1, Alfama). O 'J H Alves — Monitor Remoto' NÃO entra nesta lista: é o Jonathan, que já tem linha no orçamento (TI-E03).</t>
        </is>
      </c>
      <c r="D11" s="62" t="inlineStr">
        <is>
          <t>Só os dois primeiros credores do Jurídico superam o orçamento anual inteiro do departamento. ATENÇÃO: parte desses valores pode ser repasse ou custa reembolsável pelo cliente, e não custo da área — foi o caso da Dra. Michele (ver item P). Separar o que é custo antes de decidir. Para os que entrarem no centro de custo, criar linha no orçamento, senão aparecerão como 'Não orçado' e distorcerão o comparativo.</t>
        </is>
      </c>
      <c r="E11" s="62" t="inlineStr">
        <is>
          <t>Cristiane + Diretoria</t>
        </is>
      </c>
      <c r="F11" s="68" t="inlineStr">
        <is>
          <t>PAUTA REUNIÃO</t>
        </is>
      </c>
    </row>
    <row r="12" ht="58" customHeight="1">
      <c r="A12" s="64" t="inlineStr">
        <is>
          <t>J</t>
        </is>
      </c>
      <c r="B12" s="65" t="inlineStr">
        <is>
          <t>Despesas do TI — A LANÇAR</t>
        </is>
      </c>
      <c r="C12" s="65" t="inlineStr">
        <is>
          <t>As 9 linhas de despesas do TI (peças, backup, Adapta, antivírus, Office, sala de reunião, cursos, app de gravação e bonificação) não têm lançamento em nenhum mês.</t>
        </is>
      </c>
      <c r="D12" s="65" t="inlineStr">
        <is>
          <t>São R$ 89.040 orçados no ano, 35% do orçamento do TI. Sem lançamento, o departamento aparece com desvio negativo que é ausência de dado.</t>
        </is>
      </c>
      <c r="E12" s="65" t="inlineStr">
        <is>
          <t>Cristiane</t>
        </is>
      </c>
      <c r="F12" s="63" t="inlineStr">
        <is>
          <t>A LANÇAR</t>
        </is>
      </c>
    </row>
    <row r="13" ht="58" customHeight="1">
      <c r="A13" s="61" t="inlineStr">
        <is>
          <t>1</t>
        </is>
      </c>
      <c r="B13" s="62" t="inlineStr">
        <is>
          <t>Base de meses do TI — Jonathan corrigido para 12 meses</t>
        </is>
      </c>
      <c r="C13" s="62" t="inlineStr">
        <is>
          <t>A ficha trazia os totais do TI digitados à mão: Vinicius e Elias em 12 meses (R$ 64.998,30 e R$ 12.780,00, ambos confirmados) e Jonathan em 9 meses (R$ 90.000). A gestora confirmou que o orçamento dele valia desde jan/26, ou seja, 12 meses — os R$ 90.000 da ficha não refletiam o orçamento aprovado.</t>
        </is>
      </c>
      <c r="D13" s="62" t="inlineStr">
        <is>
          <t>Equipe de TI passa de R$ 167.778,30 para R$ 197.778,30 (+R$ 30.000). Os R$ 167.778,30 da ficha continuam batendo com Vinicius e Elias, mas a linha do Jonathan estava subdimensionada em 3 meses.</t>
        </is>
      </c>
      <c r="E13" s="62" t="inlineStr">
        <is>
          <t>Cristiane</t>
        </is>
      </c>
      <c r="F13" s="67" t="inlineStr">
        <is>
          <t>RESOLVIDO</t>
        </is>
      </c>
    </row>
    <row r="14" ht="58" customHeight="1">
      <c r="A14" s="64" t="inlineStr">
        <is>
          <t>2</t>
        </is>
      </c>
      <c r="B14" s="65" t="inlineStr">
        <is>
          <t>Origem do valor realizado — DEFINIDA: SIENGE</t>
        </is>
      </c>
      <c r="C14" s="65" t="inlineStr">
        <is>
          <t>Será aberto um centro de custo próprio no SIENGE e todos os valores do realizado serão extraídos de lá. Nada será lançado manualmente. O extrato das abas 'Contas Pagas' já vem nesse formato.</t>
        </is>
      </c>
      <c r="D14" s="65" t="inlineStr">
        <is>
          <t>O realizado passa a bater com a contabilidade por construção, que era o risco principal. Duas coisas a encaminhar: (1) o de-para entre credor do SIENGE e linha do orçamento — a coluna 'Já está no orçamento?' da aba de resumo é o rascunho dele; (2) definir se a extração sai por regime de caixa ou de competência, ver item 7.</t>
        </is>
      </c>
      <c r="E14" s="65" t="inlineStr">
        <is>
          <t>Cristiane + Financeiro</t>
        </is>
      </c>
      <c r="F14" s="67" t="inlineStr">
        <is>
          <t>RESOLVIDO</t>
        </is>
      </c>
    </row>
    <row r="15" ht="58" customHeight="1">
      <c r="A15" s="61" t="inlineStr">
        <is>
          <t>Q</t>
        </is>
      </c>
      <c r="B15" s="62" t="inlineStr">
        <is>
          <t>Adapta lançado no centro de custo errado — RECLASSIFICAR</t>
        </is>
      </c>
      <c r="C15" s="62" t="inlineStr">
        <is>
          <t>Os pagamentos do Adapta (ADAPTA EDUCACAO LTDA, contrato 4134643529) estão no centro de custo Jurídico no SIENGE: R$ 575,00/mês de jan a mai e R$ 476,00 em jun, todos com vencimento dia 15. Total de R$ 3.351,00 em seis meses. Não é despesa do Jurídico — é ferramenta de IA, de uso transversal.</t>
        </is>
      </c>
      <c r="D15" s="62" t="inlineStr">
        <is>
          <t>DECIDIDO: solicitar a reclassificação contábil ao financeiro agora, sem esperar a abertura do centro de custo novo. Enquanto não for corrigido, o Jurídico carrega R$ 3.351 que não são dele e o TI aparece sem um gasto que é seu — as duas áreas ficam com o comparativo errado ao mesmo tempo. O que pedir ao financeiro: reclassificar os seis lançamentos do contrato 4134643529 (jan a jun/26) do centro de custo Jurídico para o de TI, e ajustar a classificação dos próximos para não repetir. Depois de reclassificado, aplicar o rateio do item L, já que é ferramenta de uso transversal. Quando o centro de custo novo abrir, conferir se a classificação nasceu certa.</t>
        </is>
      </c>
      <c r="E15" s="62" t="inlineStr">
        <is>
          <t>Cristiane + Financeiro</t>
        </is>
      </c>
      <c r="F15" s="69" t="inlineStr">
        <is>
          <t>SOLICITADA</t>
        </is>
      </c>
    </row>
    <row r="16" ht="58" customHeight="1">
      <c r="A16" s="64" t="inlineStr">
        <is>
          <t>L</t>
        </is>
      </c>
      <c r="B16" s="65" t="inlineStr">
        <is>
          <t>Ferramentas de IA — DEFINIR META E RATEIO</t>
        </is>
      </c>
      <c r="C16" s="65" t="inlineStr">
        <is>
          <t>Claude, GPT, Adapta One e Adapta Skip existem hoje e não constavam na ficha. Quatro linhas criadas com planejado zerado, à espera da meta. Todas marcadas com RATEIO A DEFINIR: são de uso transversal, não exclusivo do TI.</t>
        </is>
      </c>
      <c r="D16" s="65" t="inlineStr">
        <is>
          <t>O rateio já acontece de fato, mas sem regra: no extrato, a OpenAI (R$ 5.950,10) caiu no centro de custo do TI e o Adapta (R$ 3.351) caiu no Jurídico — mesma natureza de gasto, centros diferentes por acaso. Sem critério definido, o TI absorve custo de ferramenta que a empresa inteira usa e aparece caro na comparação, enquanto as áreas usuárias não enxergam o que consomem. Sugestão: manter o contrato centralizado no TI (facilita negociação e controle de licenças) e ratear o custo por usuário ativo, que é métrica que as próprias plataformas fornecem. Conferir também a sobreposição com 'Inteligência Artificial (Adapta)', já orçada em R$ 17.400/ano, e o nome exato do 'Adapta Skip'.</t>
        </is>
      </c>
      <c r="E16" s="65" t="inlineStr">
        <is>
          <t>Cristiane + Diretoria</t>
        </is>
      </c>
      <c r="F16" s="68" t="inlineStr">
        <is>
          <t>PAUTA REUNIÃO</t>
        </is>
      </c>
    </row>
    <row r="17" ht="58" customHeight="1">
      <c r="A17" s="61" t="inlineStr">
        <is>
          <t>4</t>
        </is>
      </c>
      <c r="B17" s="62" t="inlineStr">
        <is>
          <t>Rateio dos softwares corporativos e das IAs</t>
        </is>
      </c>
      <c r="C17" s="62" t="inlineStr">
        <is>
          <t>Backup (R$ 9.900), Adapta/IA (R$ 17.400), Antivírus (R$ 2.880) e Office 365 (R$ 4.500) estão marcados na ficha como 'não sei se seria administrativo' — R$ 34.680 no ano. Somam-se a eles as quatro ferramentas de IA do item L, também de uso transversal.</t>
        </is>
      </c>
      <c r="D17" s="62" t="inlineStr">
        <is>
          <t>São 39% das despesas orçadas do TI, mais o que vier das IAs. Se são da empresa toda e ficam no centro de custo de TI, o departamento carrega despesa que não é dele e aparece caro. Tratar os dois blocos com o mesmo critério de rateio, para não criar duas regras diferentes.</t>
        </is>
      </c>
      <c r="E17" s="62" t="inlineStr">
        <is>
          <t>Cristiane + Controladoria</t>
        </is>
      </c>
      <c r="F17" s="69" t="inlineStr">
        <is>
          <t>EM ABERTO</t>
        </is>
      </c>
    </row>
    <row r="18" ht="58" customHeight="1">
      <c r="A18" s="64" t="inlineStr">
        <is>
          <t>5</t>
        </is>
      </c>
      <c r="B18" s="65" t="inlineStr">
        <is>
          <t>Sala de Reunião — DECIDIDO: executar só o funcional</t>
        </is>
      </c>
      <c r="C18" s="65" t="inlineStr">
        <is>
          <t>DECISÃO DA GESTORA: mexer somente no que for funcional. Entram os itens de infraestrutura de reunião — câmeras, microfones e cadeiras. Ficam de fora cafeteira, copos, canetas e blocos personalizados, que são consumo e brinde, pertencem ao Administrativo (item U) e não resolvem o problema da sala. O orçamento atual é de R$ 2.800/mês, R$ 33.600 no ano, sem nenhum lançamento até jul/26.</t>
        </is>
      </c>
      <c r="D18" s="65" t="inlineStr">
        <is>
          <t>FALTA A QUEBRA DO VALOR: quanto dos R$ 33.600 é funcional e quanto é consumo. Só com isso dá para ajustar a linha e liberar a diferença. Levantar orçamento dos itens funcionais antes de comprar. Definir também se é compra pontual ou parcelada — hoje está diluída linearmente em 12 meses, e se for compra única o desvio vai acusar economia falsa todo mês até a compra e um pico no mês em que ocorrer. Segue de pé a observação da gestora de que a sala já não comporta todas as pessoas: o funcional melhora a qualidade da reunião, não a capacidade — se o problema de espaço precisar de solução, é projeto à parte.</t>
        </is>
      </c>
      <c r="E18" s="65" t="inlineStr">
        <is>
          <t>Cristiane</t>
        </is>
      </c>
      <c r="F18" s="69" t="inlineStr">
        <is>
          <t>QUEBRAR VALOR</t>
        </is>
      </c>
    </row>
    <row r="19" ht="58" customHeight="1">
      <c r="A19" s="61" t="inlineStr">
        <is>
          <t>R</t>
        </is>
      </c>
      <c r="B19" s="62" t="inlineStr">
        <is>
          <t>Notebooks — TI compra, mas não enxerga o saldo das áreas</t>
        </is>
      </c>
      <c r="C19" s="62" t="inlineStr">
        <is>
          <t>Cada área tem a própria linha de orçamento para notebooks, mas é o TI que recebe a solicitação e executa a compra quando surge a necessidade. Hoje o TI não tem acompanhamento do orçamento das outras áreas, então aprova pedidos sem saber quanto resta em cada uma.</t>
        </is>
      </c>
      <c r="D19" s="62" t="inlineStr">
        <is>
          <t>O TI vira o executor de um estouro que não é dele e que ninguém percebe antes de acontecer — a área descobre no fechamento, quando já comprou. Proposta: o TI passa a acompanhar o saldo da rubrica de notebooks de cada área e avisa quando a solicitação for levar ao estouro, antes de comprar. Com o centro de custo no SIENGE, esse acompanhamento sai do mesmo relatório. Definir com a diretoria quem dá o aval quando o saldo acabar: a área solicitante, o TI ou a controladoria.</t>
        </is>
      </c>
      <c r="E19" s="62" t="inlineStr">
        <is>
          <t>Cristiane + Diretoria</t>
        </is>
      </c>
      <c r="F19" s="68" t="inlineStr">
        <is>
          <t>PAUTA REUNIÃO</t>
        </is>
      </c>
    </row>
    <row r="20" ht="58" customHeight="1">
      <c r="A20" s="64" t="inlineStr">
        <is>
          <t>S</t>
        </is>
      </c>
      <c r="B20" s="65" t="inlineStr">
        <is>
          <t>Rubricas genéricas — detalhar no lançamento, não no orçamento</t>
        </is>
      </c>
      <c r="C20" s="65" t="inlineStr">
        <is>
          <t>Rubricas como 'Peças de Manutenção' (R$ 9.720/ano) agrupam itens de naturezas diferentes: mouse, teclado, carregador, tela, carcaça. Sem detalhe, não dá para saber o que puxa o gasto. A alternativa de criar uma linha por item foi avaliada e descartada por ora.</t>
        </is>
      </c>
      <c r="D20" s="65" t="inlineStr">
        <is>
          <t>DECIDIDO: manter uma linha de orçamento e detalhar na DESCRIÇÃO do lançamento no SIENGE, com padrão fixo ('Peças – mouse', 'Peças – tela'). Motivos: (1) não há histórico — as despesas do TI ainda não têm lançamento, então orçar item a item seria estimativa sem base, e cada linha acusaria desvio pela divisão errada, não pelo gasto; (2) cinco linhas viram cinco lançamentos mensais para uma rubrica que é 11% das despesas da área; (3) o plano de contas é definido pela controladoria, então subitens no orçamento não mudariam a classificação contábil. Em jan/27, com seis meses de dados reais, reavaliar. Se separar, separar por NATUREZA (reposição x reparo), que é o que dá leitura gerencial, e não item a item. Mesmo critério vale para 'Equipamentos Eletrônicos Diversos' e demais rubricas genéricas.</t>
        </is>
      </c>
      <c r="E20" s="65" t="inlineStr">
        <is>
          <t>Cristiane</t>
        </is>
      </c>
      <c r="F20" s="67" t="inlineStr">
        <is>
          <t>APLICADO</t>
        </is>
      </c>
    </row>
    <row r="21" ht="58" customHeight="1">
      <c r="A21" s="61" t="inlineStr">
        <is>
          <t>T</t>
        </is>
      </c>
      <c r="B21" s="62" t="inlineStr">
        <is>
          <t>Política de troca 1x1 e empréstimo — IMPLANTAR</t>
        </is>
      </c>
      <c r="C21" s="62" t="inlineStr">
        <is>
          <t>Hoje não existe regra: o pedido chega e a compra é feita. A proposta é que para receber um item novo a pessoa entregue o que quebrou (troca 1x1), e que exista um equipamento reserva para empréstimo imediato, para ninguém ficar parado esperando. O reserva é COM FIO de propósito: mais barato e menos confortável que o definitivo, o que cria o incentivo natural para devolver e fechar a troca. A aba 'Controle de Equipamentos' já está pronta para o registro.</t>
        </is>
      </c>
      <c r="D21" s="62" t="inlineStr">
        <is>
          <t>APROVADA pela gestora, com prazo de empréstimo de 7 DIAS CORRIDOS — passou disso, vira 'Atrasado' e o TI cobra a devolução. A aba de controle já destaca em vermelho quem passar do prazo. Além de controlar estoque, a troca 1x1 gera dado de durabilidade e padrão de uso: se uma área quebra três vezes mais que as outras, isso aparece. Falta encaminhar: (1) comunicar a regra e o prazo às áreas; (2) montar o estoque de reserva com fio; (3) verificar com o financeiro se o lançamento pode nascer no centro de custo da área solicitante — se puder, o controle de custo por área sai do próprio SIENGE e esta aba fica só para o que ainda não virou pagamento.</t>
        </is>
      </c>
      <c r="E21" s="62" t="inlineStr">
        <is>
          <t>Cristiane + Vinicius</t>
        </is>
      </c>
      <c r="F21" s="69" t="inlineStr">
        <is>
          <t>APROVADA</t>
        </is>
      </c>
    </row>
    <row r="22" ht="58" customHeight="1">
      <c r="A22" s="64" t="inlineStr">
        <is>
          <t>U</t>
        </is>
      </c>
      <c r="B22" s="65" t="inlineStr">
        <is>
          <t>Papelaria não é TI — manter no Administrativo</t>
        </is>
      </c>
      <c r="C22" s="65" t="inlineStr">
        <is>
          <t>Recomendação registrada: o controle de papelaria (canetas, blocos, papel, copos) deve ficar no Administrativo/Facilities, não no TI. O TI controla equipamento porque há decisão TÉCNICA envolvida — se o notebook precisa de troca ou só de formatação, se a tela quebrou por defeito ou por queda. Não existe decisão técnica em caneta e bloco.</t>
        </is>
      </c>
      <c r="D22" s="65" t="inlineStr">
        <is>
          <t>CONFIRMADO pela gestora: papelaria fica no Administrativo. Três diferenças sustentam a separação: (1) papelaria acaba, não quebra, então a regra de troca 1x1 não se aplica — o controle é de estoque por ponto de pedido, outra lógica; (2) não há patrimônio nem número de série para rastrear item a item; (3) o custo de controlar uma caneta é maior que a caneta. A VERIFICAR: se hoje há papelaria caindo no orçamento ou no centro de custo do TI por motivo histórico. Se houver, entra no mesmo pedido de reclassificação do Adapta (item Q). Vale conferir também os itens de consumo que estavam no projeto da sala de reunião — cafeteira, copos, canetas e blocos personalizados —, que por esta decisão saem do TI.</t>
        </is>
      </c>
      <c r="E22" s="65" t="inlineStr">
        <is>
          <t>Cristiane + Administrativo</t>
        </is>
      </c>
      <c r="F22" s="69" t="inlineStr">
        <is>
          <t>CONFIRMADA</t>
        </is>
      </c>
    </row>
    <row r="23" ht="58" customHeight="1">
      <c r="A23" s="61" t="inlineStr">
        <is>
          <t>V</t>
        </is>
      </c>
      <c r="B23" s="62" t="inlineStr">
        <is>
          <t>AnyDesk — contratação prevista, definir valor</t>
        </is>
      </c>
      <c r="C23" s="62" t="inlineStr">
        <is>
          <t>Licença de acesso remoto que será contratada e não constava na ficha. Linha criada com planejado zerado, à espera do valor e do mês de início.</t>
        </is>
      </c>
      <c r="D23" s="62" t="inlineStr">
        <is>
          <t>Ainda não contratado — realizado zerado até jul/26, e não falta de lançamento. Não há sobreposição com o 'Monitor Remoto' do extrato: aquele credor é o Jonathan (J H Alves), consultor, não um software de acesso remoto. É contratação nova, sem substituto atual. Definir valor e mês antes de assinar — enquanto o planejado for zero, qualquer lançamento aparece como 'Não orçado'.</t>
        </is>
      </c>
      <c r="E23" s="62" t="inlineStr">
        <is>
          <t>Cristiane</t>
        </is>
      </c>
      <c r="F23" s="69" t="inlineStr">
        <is>
          <t>DEFINIR VALOR</t>
        </is>
      </c>
    </row>
    <row r="24" ht="58" customHeight="1">
      <c r="A24" s="64" t="inlineStr">
        <is>
          <t>W</t>
        </is>
      </c>
      <c r="B24" s="65" t="inlineStr">
        <is>
          <t>Vitor (diretoria) — Claude ou GPT? PERGUNTAR</t>
        </is>
      </c>
      <c r="C24" s="65" t="inlineStr">
        <is>
          <t>Confirmar com o Vitor se ele seguirá usando o Claude, o GPT, ou os dois. Hoje as duas ferramentas estão contratadas e são de mesma finalidade — IA generalista —, então manter as duas para o mesmo usuário é redundância paga.</t>
        </is>
      </c>
      <c r="D24" s="65" t="inlineStr">
        <is>
          <t>É pré-requisito para fechar a meta do item L: não dá para dimensionar o orçamento de IA sem saber quantas licenças de cada ferramenta ficam de pé. Referência de custo: a OpenAI aparece no extrato com R$ 5.950,10 em sete meses, sendo R$ 5.394 só em abr/26. Levantar a mesma informação para os demais usuários, não só a diretoria — a decisão vale para todo mundo.</t>
        </is>
      </c>
      <c r="E24" s="65" t="inlineStr">
        <is>
          <t>Cristiane + Vitor</t>
        </is>
      </c>
      <c r="F24" s="69" t="inlineStr">
        <is>
          <t>PERGUNTAR</t>
        </is>
      </c>
    </row>
    <row r="25" ht="58" customHeight="1">
      <c r="A25" s="61" t="inlineStr">
        <is>
          <t>X</t>
        </is>
      </c>
      <c r="B25" s="62" t="inlineStr">
        <is>
          <t>Mapa de licenças de IA — quem usa o quê</t>
        </is>
      </c>
      <c r="C25" s="62" t="inlineStr">
        <is>
          <t>Situação atual conhecida: a licença do GPT era da Thamar e hoje é usada em conjunto por Gil, Miguel e Thamar. Uma licença também foi cedida ao Financeiro. Falta o mapa completo — quem usa cada ferramenta, em qual área e sob qual login.</t>
        </is>
      </c>
      <c r="D25" s="62" t="inlineStr">
        <is>
          <t>Duas consequências. ORÇAMENTO: uma licença usada pelo Financeiro é custo de outra área lançado no TI/Jurídico — é exatamente o caso que o rateio do item L precisa resolver, e sem o mapa não há como ratear. RISCO: contas de IA generalista são individuais, e o compartilhamento entre pessoas costuma contrariar os termos de uso do fornecedor, com risco de suspensão. Mais grave num escritório de advocacia: o histórico de conversas fica visível para todos que usam o mesmo login, então dados de um cliente podem ser vistos por quem não atua no caso — questão de sigilo profissional, não só de custo. Avaliar licenças individuais ou plano de equipe, que costuma sair mais barato por usuário e separa os históricos.</t>
        </is>
      </c>
      <c r="E25" s="62" t="inlineStr">
        <is>
          <t>Cristiane + Vitor</t>
        </is>
      </c>
      <c r="F25" s="69" t="inlineStr">
        <is>
          <t>LEVANTAR</t>
        </is>
      </c>
    </row>
    <row r="26" ht="58" customHeight="1">
      <c r="A26" s="64" t="inlineStr">
        <is>
          <t>Y</t>
        </is>
      </c>
      <c r="B26" s="65" t="inlineStr">
        <is>
          <t>Divisão de responsabilidades no acompanhamento</t>
        </is>
      </c>
      <c r="C26" s="65" t="inlineStr">
        <is>
          <t>Definição de quem faz o quê no controle orçamentário do TI. Capacidades: Vinicius, analista, 173 h/mês a R$ 31,25/h de custo total; Jonathan, consultor/desenvolvedor, 3 dias por semana, 104 h/mês a R$ 60,58/h — o dobro. Cristiane na gestão.</t>
        </is>
      </c>
      <c r="D26" s="65" t="inlineStr">
        <is>
          <t>VINICIUS (suporte + recorrente + apoio ao desenvolvimento): suporte ao usuário; extração mensal do SIENGE e lançamento do realizado; controle de equipamentos (solicitações, empréstimos, troca 1x1); acompanhamento do saldo por área para avisar antes do estouro; conferência de faturas contra contrato; e apoio operacional ao Jonathan no que o desenvolvimento exigir. Esse apoio é o que multiplica as 104 h/mês do consultor: cada tarefa operacional que sai das mãos dele por R$ 31,25/h é uma hora de R$ 60,58 liberada para o que só ele faz. JONATHAN (pontual e técnico, nunca rotina): avaliar AnyDesk x Monitor Remoto, avaliar Claude x GPT e planos de equipe, e automatizar a extração do SIENGE — esta última é a que paga o custo dele, porque devolve tempo do analista todos os meses. CRISTIANE: negociação de contratos, rateio, o que entra e sai do orçamento, apresentação à diretoria. Critério: 104 h/mês é capacidade limitada, e cada hora do consultor em tarefa administrativa custa o dobro da mesma hora do analista. Se o Jonathan aparecer na rotina mensal, é sinal de que algo deveria ter sido automatizado.</t>
        </is>
      </c>
      <c r="E26" s="65" t="inlineStr">
        <is>
          <t>Cristiane</t>
        </is>
      </c>
      <c r="F26" s="67" t="inlineStr">
        <is>
          <t>APLICADO</t>
        </is>
      </c>
    </row>
    <row r="27" ht="58" customHeight="1">
      <c r="A27" s="61" t="inlineStr">
        <is>
          <t>6</t>
        </is>
      </c>
      <c r="B27" s="62" t="inlineStr">
        <is>
          <t>Office 365 — CONFIRMAR se R$ 440 é por licença ou o total</t>
        </is>
      </c>
      <c r="C27" s="62" t="inlineStr">
        <is>
          <t>A gestora esclareceu a estrutura: cada licença atende 6 funcionários e custa R$ 440. Com 10 licenças, fecham os 60 usuários da ficha. Falta confirmar UMA coisa: os R$ 440 são o valor de CADA licença ou o total pago por mês? Não há lançamento de Microsoft/Office no extrato de jan a jul, o que também precisa ser explicado — é custo mensal e deveria aparecer.</t>
        </is>
      </c>
      <c r="D27" s="62" t="inlineStr">
        <is>
          <t>A diferença entre as duas leituras é enorme. Se R$ 440 for o total: R$ 5.280/ano, R$ 780 acima dos R$ 4.500 orçados — ajuste pequeno. Se for por licença: 10 x R$ 440 = R$ 4.400/mês, R$ 52.800/ano, R$ 48.300 acima do orçado — sozinho maior que todas as despesas orçadas do TI, e o orçamento da área estaria comprometido. Confirmar antes da reunião.</t>
        </is>
      </c>
      <c r="E27" s="62" t="inlineStr">
        <is>
          <t>Cristiane</t>
        </is>
      </c>
      <c r="F27" s="69" t="inlineStr">
        <is>
          <t>CONFIRMAR</t>
        </is>
      </c>
    </row>
    <row r="28" ht="58" customHeight="1">
      <c r="A28" s="64" t="inlineStr">
        <is>
          <t>7</t>
        </is>
      </c>
      <c r="B28" s="65" t="inlineStr">
        <is>
          <t>Competência x caixa — DECIDIDO: COMPETÊNCIA</t>
        </is>
      </c>
      <c r="C28" s="65" t="inlineStr">
        <is>
          <t>Todos os PJs prestam no mês e recebem no seguinte — Miguel, Thamar e Dra. Michele no Jurídico; Elias e Jonathan no TI. O realizado foi convertido para COMPETÊNCIA: os valores dos PJs foram deslocados um mês para trás em relação à data de pagamento. O que foi pago em jan/26 era serviço de dez/25 e saiu do exercício.</t>
        </is>
      </c>
      <c r="D28" s="65" t="inlineStr">
        <is>
          <t>Três efeitos. (1) O último mês completo passa a ser JUNHO, não julho: o serviço de jul só fecha quando sair o pagamento de ago — o mês de referência do Comparativo foi ajustado. (2) A conversão validou a entrada do Jonathan: por competência, o primeiro mês de serviço dele cai em abr, exatamente como informado. (3) O Monitor Remoto zerou no exercício — aquele pagamento de jan era serviço de dez/25. A CONFERIR: os CLT (Geovanna e Vinicius) NÃO foram deslocados. Se a folha for paga no mês seguinte, como é usual, eles também precisam deslocar. E na Thamar, confirmar se o aumento valeu para o serviço de mar ou de abr. Ao configurar a extração no SIENGE, travar o regime de competência e manter — trocar no meio do ano mistura critérios no histórico.</t>
        </is>
      </c>
      <c r="E28" s="65" t="inlineStr">
        <is>
          <t>Cristiane + Financeiro</t>
        </is>
      </c>
      <c r="F28" s="67" t="inlineStr">
        <is>
          <t>APLICADO</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6" customWidth="1" min="1" max="1"/>
    <col width="60" customWidth="1" min="2" max="2"/>
    <col width="34" customWidth="1" min="3" max="3"/>
  </cols>
  <sheetData>
    <row r="1" ht="30" customHeight="1">
      <c r="A1" s="1" t="inlineStr">
        <is>
          <t>COMO USAR ESTA PLANILHA</t>
        </is>
      </c>
    </row>
    <row r="2" ht="18" customHeight="1">
      <c r="A2" s="2" t="inlineStr">
        <is>
          <t>Rotina mensal de fechamento em 5 passos.</t>
        </is>
      </c>
    </row>
    <row r="4" ht="22" customHeight="1">
      <c r="A4" s="30" t="inlineStr">
        <is>
          <t>ROTINA MENSAL</t>
        </is>
      </c>
    </row>
    <row r="5" ht="34" customHeight="1">
      <c r="A5" s="70" t="inlineStr">
        <is>
          <t>1</t>
        </is>
      </c>
      <c r="B5" s="71" t="inlineStr">
        <is>
          <t>Extraia do SIENGE o relatório do centro de custo do departamento, no mês que fechou. A fonte do realizado é o SIENGE — nada é digitado de cabeça.</t>
        </is>
      </c>
    </row>
    <row r="6" ht="34" customHeight="1">
      <c r="A6" s="70" t="inlineStr">
        <is>
          <t>2</t>
        </is>
      </c>
      <c r="B6" s="71" t="inlineStr">
        <is>
          <t>Lance na aba REALIZADO, nas células amarelas, o valor de cada linha do orçamento. Item sem gasto no mês: digite 0 — deixar em branco significa 'ainda não lancei'. Use a coluna 'Fonte do dado' para registrar de qual relatório o número saiu, com a data da extração.</t>
        </is>
      </c>
    </row>
    <row r="7" ht="34" customHeight="1">
      <c r="A7" s="70" t="inlineStr">
        <is>
          <t>3</t>
        </is>
      </c>
      <c r="B7" s="71" t="inlineStr">
        <is>
          <t>Vá na aba COMPARATIVO e selecione o mês em B3. Todas as demais abas acompanham essa escolha.</t>
        </is>
      </c>
    </row>
    <row r="8" ht="34" customHeight="1">
      <c r="A8" s="70" t="inlineStr">
        <is>
          <t>4</t>
        </is>
      </c>
      <c r="B8" s="71" t="inlineStr">
        <is>
          <t>Confira o PAINEL: ele mostra o desvio por departamento e os 5 maiores estouros do acumulado. É a tela para levar à diretoria.</t>
        </is>
      </c>
    </row>
    <row r="9" ht="34" customHeight="1">
      <c r="A9" s="70" t="inlineStr">
        <is>
          <t>5</t>
        </is>
      </c>
      <c r="B9" s="71" t="inlineStr">
        <is>
          <t>Atualize a aba PENDÊNCIAS conforme as decisões forem sendo tomadas.</t>
        </is>
      </c>
    </row>
    <row r="10" ht="8" customHeight="1"/>
    <row r="11" ht="22" customHeight="1">
      <c r="A11" s="30" t="inlineStr">
        <is>
          <t>PADRÃO DE DESCRIÇÃO</t>
        </is>
      </c>
    </row>
    <row r="12" ht="34" customHeight="1">
      <c r="A12" s="70" t="inlineStr">
        <is>
          <t>Rubricas genéricas</t>
        </is>
      </c>
      <c r="B12" s="71" t="inlineStr">
        <is>
          <t>Em linhas que agrupam itens variados (peças de manutenção, equipamentos diversos), detalhe o item na descrição do lançamento no SIENGE, sempre no mesmo padrão: 'Peças – mouse', 'Peças – tela'. O orçamento fica numa linha só e o detalhe sai por filtro quando precisar.</t>
        </is>
      </c>
    </row>
    <row r="13" ht="8" customHeight="1"/>
    <row r="14" ht="22" customHeight="1">
      <c r="A14" s="30" t="inlineStr">
        <is>
          <t>COMO LER OS NÚMEROS</t>
        </is>
      </c>
    </row>
    <row r="15" ht="34" customHeight="1">
      <c r="A15" s="70" t="inlineStr">
        <is>
          <t>Desvio positivo (vermelho)</t>
        </is>
      </c>
      <c r="B15" s="71" t="inlineStr">
        <is>
          <t>Gastou ACIMA do orçado.</t>
        </is>
      </c>
    </row>
    <row r="16" ht="34" customHeight="1">
      <c r="A16" s="70" t="inlineStr">
        <is>
          <t>Desvio negativo (verde)</t>
        </is>
      </c>
      <c r="B16" s="71" t="inlineStr">
        <is>
          <t>Gastou ABAIXO do orçado — economia ou despesa ainda não realizada.</t>
        </is>
      </c>
    </row>
    <row r="17" ht="34" customHeight="1">
      <c r="A17" s="70" t="inlineStr">
        <is>
          <t>Planejado acum.</t>
        </is>
      </c>
      <c r="B17" s="71" t="inlineStr">
        <is>
          <t>Soma de maio até o mês selecionado.</t>
        </is>
      </c>
    </row>
    <row r="18" ht="34" customHeight="1">
      <c r="A18" s="70" t="inlineStr">
        <is>
          <t>% Executado</t>
        </is>
      </c>
      <c r="B18" s="71" t="inlineStr">
        <is>
          <t>Realizado acumulado ÷ Planejado acumulado. Perto de 100% = no ritmo.</t>
        </is>
      </c>
    </row>
    <row r="19" ht="34" customHeight="1">
      <c r="A19" s="70" t="inlineStr">
        <is>
          <t>Sem lançamento</t>
        </is>
      </c>
      <c r="B19" s="71" t="inlineStr">
        <is>
          <t>Nada foi lançado no realizado ainda — não confunda com economia.</t>
        </is>
      </c>
    </row>
    <row r="20" ht="8" customHeight="1"/>
    <row r="21" ht="22" customHeight="1">
      <c r="A21" s="30" t="inlineStr">
        <is>
          <t>REGRAS DA PLANILHA</t>
        </is>
      </c>
    </row>
    <row r="22" ht="34" customHeight="1">
      <c r="A22" s="70" t="inlineStr">
        <is>
          <t>Não altere</t>
        </is>
      </c>
      <c r="B22" s="71" t="inlineStr">
        <is>
          <t>As colunas de identificação da aba Realizado (A a G) são fórmulas que espelham a aba Planejado. Alterar quebra o comparativo.</t>
        </is>
      </c>
    </row>
    <row r="23" ht="34" customHeight="1">
      <c r="A23" s="70" t="inlineStr">
        <is>
          <t>Nova linha de orçamento</t>
        </is>
      </c>
      <c r="B23" s="71" t="inlineStr">
        <is>
          <t>Insira na aba Planejado e replique a mesma linha na aba Realizado e na aba Comparativo, mantendo o mesmo ID.</t>
        </is>
      </c>
    </row>
    <row r="24" ht="34" customHeight="1">
      <c r="A24" s="70" t="inlineStr">
        <is>
          <t>Revisão de orçamento</t>
        </is>
      </c>
      <c r="B24" s="71" t="inlineStr">
        <is>
          <t>Se a diretoria aprovar um valor novo, altere na aba Planejado e registre o motivo na aba Pendências.</t>
        </is>
      </c>
    </row>
  </sheetData>
  <mergeCells count="20">
    <mergeCell ref="B16:C16"/>
    <mergeCell ref="B7:C7"/>
    <mergeCell ref="B22:C22"/>
    <mergeCell ref="A21:C21"/>
    <mergeCell ref="B18:C18"/>
    <mergeCell ref="A2:C2"/>
    <mergeCell ref="B12:C12"/>
    <mergeCell ref="A14:C14"/>
    <mergeCell ref="B23:C23"/>
    <mergeCell ref="B17:C17"/>
    <mergeCell ref="A4:C4"/>
    <mergeCell ref="B8:C8"/>
    <mergeCell ref="B19:C19"/>
    <mergeCell ref="B9:C9"/>
    <mergeCell ref="B6:C6"/>
    <mergeCell ref="B24:C24"/>
    <mergeCell ref="A11:C11"/>
    <mergeCell ref="B15:C15"/>
    <mergeCell ref="A1:C1"/>
    <mergeCell ref="B5:C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30" customWidth="1" min="2" max="2"/>
    <col width="12" customWidth="1" min="3" max="3"/>
    <col width="18" customWidth="1" min="4" max="4"/>
    <col width="14" customWidth="1" min="5" max="5"/>
  </cols>
  <sheetData>
    <row r="1" ht="30" customHeight="1">
      <c r="A1" s="1" t="inlineStr">
        <is>
          <t>PAPÉIS E RESPONSABILIDADES — equipe de TI</t>
        </is>
      </c>
    </row>
    <row r="2" ht="18" customHeight="1">
      <c r="A2" s="2" t="inlineStr">
        <is>
          <t>Quem faz o quê no acompanhamento orçamentário e na operação. O critério é custo por hora: tarefa recorrente vai para quem custa menos, e a capacidade cara fica reservada para o que só ela resolve.</t>
        </is>
      </c>
    </row>
    <row r="4" ht="30" customHeight="1">
      <c r="A4" s="6" t="inlineStr">
        <is>
          <t>Pessoa</t>
        </is>
      </c>
      <c r="B4" s="6" t="inlineStr">
        <is>
          <t>Função</t>
        </is>
      </c>
      <c r="C4" s="6" t="inlineStr">
        <is>
          <t>Vínculo</t>
        </is>
      </c>
      <c r="D4" s="6" t="inlineStr">
        <is>
          <t>Capacidade</t>
        </is>
      </c>
      <c r="E4" s="6" t="inlineStr">
        <is>
          <t>Custo/hora</t>
        </is>
      </c>
    </row>
    <row r="5" ht="20" customHeight="1">
      <c r="A5" s="72" t="inlineStr">
        <is>
          <t>Cristiane Rabelo</t>
        </is>
      </c>
      <c r="B5" s="73" t="inlineStr">
        <is>
          <t>Gestora de TI e Jurídico</t>
        </is>
      </c>
      <c r="C5" s="74" t="inlineStr">
        <is>
          <t>—</t>
        </is>
      </c>
      <c r="D5" s="74" t="inlineStr">
        <is>
          <t>—</t>
        </is>
      </c>
      <c r="E5" s="75" t="n"/>
    </row>
    <row r="6" ht="20" customHeight="1">
      <c r="A6" s="72" t="inlineStr">
        <is>
          <t>Vinicius Di Franco</t>
        </is>
      </c>
      <c r="B6" s="73" t="inlineStr">
        <is>
          <t>Analista Administrativo</t>
        </is>
      </c>
      <c r="C6" s="74" t="inlineStr">
        <is>
          <t>CLT</t>
        </is>
      </c>
      <c r="D6" s="74" t="inlineStr">
        <is>
          <t>173 h/mês (5x8h)</t>
        </is>
      </c>
      <c r="E6" s="75" t="n">
        <v>31.25</v>
      </c>
    </row>
    <row r="7" ht="20" customHeight="1">
      <c r="A7" s="72" t="inlineStr">
        <is>
          <t>Jonathan (J H Alves)</t>
        </is>
      </c>
      <c r="B7" s="73" t="inlineStr">
        <is>
          <t>Consultor / Desenvolvedor</t>
        </is>
      </c>
      <c r="C7" s="74" t="inlineStr">
        <is>
          <t>PJ</t>
        </is>
      </c>
      <c r="D7" s="74" t="inlineStr">
        <is>
          <t>104 h/mês (3x8h)</t>
        </is>
      </c>
      <c r="E7" s="75" t="n">
        <v>60.58</v>
      </c>
    </row>
    <row r="8" ht="20" customHeight="1">
      <c r="A8" s="72" t="inlineStr">
        <is>
          <t>Elias Benedito</t>
        </is>
      </c>
      <c r="B8" s="73" t="inlineStr">
        <is>
          <t>Suporte Técnico Terceirizado</t>
        </is>
      </c>
      <c r="C8" s="74" t="inlineStr">
        <is>
          <t>PJ</t>
        </is>
      </c>
      <c r="D8" s="74" t="inlineStr">
        <is>
          <t>Sob demanda</t>
        </is>
      </c>
      <c r="E8" s="75" t="n"/>
    </row>
    <row r="10" ht="22" customHeight="1">
      <c r="A10" s="76" t="inlineStr">
        <is>
          <t>CRISTIANE — gestora de TI e Jurídico</t>
        </is>
      </c>
    </row>
    <row r="11" ht="42" customHeight="1">
      <c r="A11" s="77" t="inlineStr">
        <is>
          <t>ESCOPO</t>
        </is>
      </c>
      <c r="B11" s="78" t="inlineStr">
        <is>
          <t>Responde pelas duas áreas: TI (R$ 284.971,50 orçados em 2026) e Jurídico (R$ 324.730,42), num total de R$ 609.701,92. Equipe direta de sete pessoas entre CLT e PJ.</t>
        </is>
      </c>
      <c r="C11" s="79" t="n"/>
      <c r="D11" s="79" t="n"/>
      <c r="E11" s="79" t="n"/>
    </row>
    <row r="12" ht="18" customHeight="1">
      <c r="A12" s="80" t="inlineStr">
        <is>
          <t>— ORÇAMENTO —</t>
        </is>
      </c>
    </row>
    <row r="13" ht="42" customHeight="1">
      <c r="A13" s="77" t="inlineStr">
        <is>
          <t>Montar e revisar o orçamento</t>
        </is>
      </c>
      <c r="B13" s="78" t="inlineStr">
        <is>
          <t>Definir as linhas do ano, os valores e a base de meses de cada contrato. Revisar quando houver reajuste, entrada ou saída — como o aumento da Thamar, o do Vinicius e a inclusão da Dra. Michele.</t>
        </is>
      </c>
      <c r="C13" s="79" t="n"/>
      <c r="D13" s="79" t="n"/>
      <c r="E13" s="79" t="n"/>
    </row>
    <row r="14" ht="42" customHeight="1">
      <c r="A14" s="77" t="inlineStr">
        <is>
          <t>Aprovar o que entra e sai</t>
        </is>
      </c>
      <c r="B14" s="78" t="inlineStr">
        <is>
          <t>Nenhuma linha nova ou cancelamento sem passar por ela. Exemplos do período: cancelamento do Astrea, criação das linhas de IA, entrada do AnyDesk, decisão sobre a sala de reunião.</t>
        </is>
      </c>
      <c r="C14" s="79" t="n"/>
      <c r="D14" s="79" t="n"/>
      <c r="E14" s="79" t="n"/>
    </row>
    <row r="15" ht="42" customHeight="1">
      <c r="A15" s="77" t="inlineStr">
        <is>
          <t>Validar o fechamento mensal</t>
        </is>
      </c>
      <c r="B15" s="78" t="inlineStr">
        <is>
          <t>Conferir o que o analista lançou antes de o número virar informação oficial. Olhar a coluna 'Linhas lançadas' do Painel: desvio negativo em linha não lançada é ausência de dado, não economia.</t>
        </is>
      </c>
      <c r="C15" s="79" t="n"/>
      <c r="D15" s="79" t="n"/>
      <c r="E15" s="79" t="n"/>
    </row>
    <row r="16" ht="42" customHeight="1">
      <c r="A16" s="77" t="inlineStr">
        <is>
          <t>Responder pelo desvio</t>
        </is>
      </c>
      <c r="B16" s="78" t="inlineStr">
        <is>
          <t>Explicar cada estouro e cada economia — o que foi decisão de gestão, o que foi erro de origem do orçamento e o que é só falta de lançamento.</t>
        </is>
      </c>
      <c r="C16" s="79" t="n"/>
      <c r="D16" s="79" t="n"/>
      <c r="E16" s="79" t="n"/>
    </row>
    <row r="17" ht="18" customHeight="1">
      <c r="A17" s="80" t="inlineStr">
        <is>
          <t>— CONTRATOS E FORNECEDORES —</t>
        </is>
      </c>
    </row>
    <row r="18" ht="42" customHeight="1">
      <c r="A18" s="77" t="inlineStr">
        <is>
          <t>Negociar valor e condições</t>
        </is>
      </c>
      <c r="B18" s="78" t="inlineStr">
        <is>
          <t>É o que gerou as economias do ano: Jonathan de R$ 10.000 para R$ 6.300 e Elias de R$ 1.065 para R$ 603,30, 43% de redução. Só a negociação responde por boa parte dos R$ 56.946 economizados no TI.</t>
        </is>
      </c>
      <c r="C18" s="79" t="n"/>
      <c r="D18" s="79" t="n"/>
      <c r="E18" s="79" t="n"/>
    </row>
    <row r="19" ht="42" customHeight="1">
      <c r="A19" s="77" t="inlineStr">
        <is>
          <t>Decidir contratar, manter ou cancelar</t>
        </is>
      </c>
      <c r="B19" s="78" t="inlineStr">
        <is>
          <t>Avaliar necessidade real antes de assinar e cortar o que não entrega. No período: Jusfy cancelado antes de iniciar, Astrea em cancelamento, contratação do Jonathan segurada por três meses.</t>
        </is>
      </c>
      <c r="C19" s="79" t="n"/>
      <c r="D19" s="79" t="n"/>
      <c r="E19" s="79" t="n"/>
    </row>
    <row r="20" ht="42" customHeight="1">
      <c r="A20" s="77" t="inlineStr">
        <is>
          <t>Controlar prazos de renovação</t>
        </is>
      </c>
      <c r="B20" s="78" t="inlineStr">
        <is>
          <t>Contratos anuais renovam sozinhos. O Astrea cobra em cartão e o ciclo vira em 01/11 — se o cancelamento não estiver confirmado até lá, entra anuidade de cerca de R$ 7.400 sem previsão orçamentária.</t>
        </is>
      </c>
      <c r="C20" s="79" t="n"/>
      <c r="D20" s="79" t="n"/>
      <c r="E20" s="79" t="n"/>
    </row>
    <row r="21" ht="18" customHeight="1">
      <c r="A21" s="80" t="inlineStr">
        <is>
          <t>— PESSOAS —</t>
        </is>
      </c>
    </row>
    <row r="22" ht="42" customHeight="1">
      <c r="A22" s="77" t="inlineStr">
        <is>
          <t>Dimensionar a equipe</t>
        </is>
      </c>
      <c r="B22" s="78" t="inlineStr">
        <is>
          <t>Definir quem é CLT, quem é PJ, quantas horas e com que escopo. Decidir quando segurar uma contratação, como fez de jan a mar com o consultor.</t>
        </is>
      </c>
      <c r="C22" s="79" t="n"/>
      <c r="D22" s="79" t="n"/>
      <c r="E22" s="79" t="n"/>
    </row>
    <row r="23" ht="42" customHeight="1">
      <c r="A23" s="77" t="inlineStr">
        <is>
          <t>Alocar o trabalho por custo</t>
        </is>
      </c>
      <c r="B23" s="78" t="inlineStr">
        <is>
          <t>Manter a rotina com o analista e a capacidade cara reservada para o que só ela resolve. A hora do consultor custa o dobro e são só 104 por mês.</t>
        </is>
      </c>
      <c r="C23" s="79" t="n"/>
      <c r="D23" s="79" t="n"/>
      <c r="E23" s="79" t="n"/>
    </row>
    <row r="24" ht="42" customHeight="1">
      <c r="A24" s="77" t="inlineStr">
        <is>
          <t>Reajustes e bonificações</t>
        </is>
      </c>
      <c r="B24" s="78" t="inlineStr">
        <is>
          <t>Aprovar aumentos e decidir sobre as bonificações previstas em ago e dez, que somam R$ 29.160,60 nas duas áreas.</t>
        </is>
      </c>
      <c r="C24" s="79" t="n"/>
      <c r="D24" s="79" t="n"/>
      <c r="E24" s="79" t="n"/>
    </row>
    <row r="25" ht="18" customHeight="1">
      <c r="A25" s="80" t="inlineStr">
        <is>
          <t>— POLÍTICAS E GOVERNANÇA —</t>
        </is>
      </c>
    </row>
    <row r="26" ht="42" customHeight="1">
      <c r="A26" s="77" t="inlineStr">
        <is>
          <t>Definir regras de uso</t>
        </is>
      </c>
      <c r="B26" s="78" t="inlineStr">
        <is>
          <t>Troca 1x1 de equipamento, estoque reserva para empréstimo, quem pode gerar chave de API, quem tem licença de IA e sob qual login.</t>
        </is>
      </c>
      <c r="C26" s="79" t="n"/>
      <c r="D26" s="79" t="n"/>
      <c r="E26" s="79" t="n"/>
    </row>
    <row r="27" ht="42" customHeight="1">
      <c r="A27" s="77" t="inlineStr">
        <is>
          <t>Rateio e centro de custo</t>
        </is>
      </c>
      <c r="B27" s="78" t="inlineStr">
        <is>
          <t>Definir com a controladoria o que é do TI e o que é corporativo: oito linhas de uso transversal estão marcadas como RATEIO A DEFINIR, e o Adapta está classificado na área errada.</t>
        </is>
      </c>
      <c r="C27" s="79" t="n"/>
      <c r="D27" s="79" t="n"/>
      <c r="E27" s="79" t="n"/>
    </row>
    <row r="28" ht="42" customHeight="1">
      <c r="A28" s="77" t="inlineStr">
        <is>
          <t>Zelar pelo sigilo</t>
        </is>
      </c>
      <c r="B28" s="78" t="inlineStr">
        <is>
          <t>Num escritório de advocacia, licença de IA compartilhada expõe o histórico de um cliente a quem não atua no caso. É risco de sigilo profissional, não só de custo.</t>
        </is>
      </c>
      <c r="C28" s="79" t="n"/>
      <c r="D28" s="79" t="n"/>
      <c r="E28" s="79" t="n"/>
    </row>
    <row r="29" ht="18" customHeight="1">
      <c r="A29" s="80" t="inlineStr">
        <is>
          <t>— RELACIONAMENTO —</t>
        </is>
      </c>
    </row>
    <row r="30" ht="42" customHeight="1">
      <c r="A30" s="77" t="inlineStr">
        <is>
          <t>Diretoria</t>
        </is>
      </c>
      <c r="B30" s="78" t="inlineStr">
        <is>
          <t>Apresentar o Painel, defender os números e levar as pautas em aberto. Hoje são seis: sala de reunião, meta das IAs, notebooks, despesas fora do orçamento, reclassificação do Adapta e erro de origem do Astrea.</t>
        </is>
      </c>
      <c r="C30" s="79" t="n"/>
      <c r="D30" s="79" t="n"/>
      <c r="E30" s="79" t="n"/>
    </row>
    <row r="31" ht="42" customHeight="1">
      <c r="A31" s="77" t="inlineStr">
        <is>
          <t>Financeiro e controladoria</t>
        </is>
      </c>
      <c r="B31" s="78" t="inlineStr">
        <is>
          <t>Abertura do centro de custo no SIENGE, escolha do regime (competência ou caixa), reclassificações e separação entre custo e repasse.</t>
        </is>
      </c>
      <c r="C31" s="79" t="n"/>
      <c r="D31" s="79" t="n"/>
      <c r="E31" s="79" t="n"/>
    </row>
    <row r="32" ht="42" customHeight="1">
      <c r="A32" s="77" t="inlineStr">
        <is>
          <t>RH e Administrativo</t>
        </is>
      </c>
      <c r="B32" s="78" t="inlineStr">
        <is>
          <t>Custo total dos CLT para o comparativo, e o que sai do TI por não ser dele — papelaria e treinamento corporativo.</t>
        </is>
      </c>
      <c r="C32" s="79" t="n"/>
      <c r="D32" s="79" t="n"/>
      <c r="E32" s="79" t="n"/>
    </row>
    <row r="33" ht="42" customHeight="1">
      <c r="A33" s="77" t="inlineStr">
        <is>
          <t>Outras áreas</t>
        </is>
      </c>
      <c r="B33" s="78" t="inlineStr">
        <is>
          <t>Avisar antes do estouro quando uma solicitação de equipamento passar do saldo da rubrica delas.</t>
        </is>
      </c>
      <c r="C33" s="79" t="n"/>
      <c r="D33" s="79" t="n"/>
      <c r="E33" s="79" t="n"/>
    </row>
    <row r="35" ht="22" customHeight="1">
      <c r="A35" s="30" t="inlineStr">
        <is>
          <t>VINICIUS — suporte, rotina e apoio ao desenvolvimento</t>
        </is>
      </c>
    </row>
    <row r="36" ht="42" customHeight="1">
      <c r="A36" s="77" t="inlineStr">
        <is>
          <t>Suporte ao usuário</t>
        </is>
      </c>
      <c r="B36" s="78" t="inlineStr">
        <is>
          <t>Atendimento do dia a dia às áreas: equipamento, acesso, software.</t>
        </is>
      </c>
      <c r="C36" s="79" t="n"/>
      <c r="D36" s="79" t="n"/>
      <c r="E36" s="79" t="n"/>
    </row>
    <row r="37" ht="42" customHeight="1">
      <c r="A37" s="77" t="inlineStr">
        <is>
          <t>Fechamento mensal do orçamento</t>
        </is>
      </c>
      <c r="B37" s="78" t="inlineStr">
        <is>
          <t>Extrair o relatório do centro de custo no SIENGE e lançar o realizado na aba Realizado, preenchendo a coluna Fonte do dado com a data da extração. Item sem gasto no mês recebe 0, não fica em branco.</t>
        </is>
      </c>
      <c r="C37" s="79" t="n"/>
      <c r="D37" s="79" t="n"/>
      <c r="E37" s="79" t="n"/>
    </row>
    <row r="38" ht="42" customHeight="1">
      <c r="A38" s="77" t="inlineStr">
        <is>
          <t>Controle de equipamentos</t>
        </is>
      </c>
      <c r="B38" s="78" t="inlineStr">
        <is>
          <t>Registrar solicitações e empréstimos na aba própria, cobrar a devolução do item quebrado na troca 1x1 e controlar o estoque reserva.</t>
        </is>
      </c>
      <c r="C38" s="79" t="n"/>
      <c r="D38" s="79" t="n"/>
      <c r="E38" s="79" t="n"/>
    </row>
    <row r="39" ht="42" customHeight="1">
      <c r="A39" s="77" t="inlineStr">
        <is>
          <t>Saldo por área</t>
        </is>
      </c>
      <c r="B39" s="78" t="inlineStr">
        <is>
          <t>Acompanhar quanto resta na rubrica de cada área e avisar ANTES de comprar quando a solicitação for levar ao estouro.</t>
        </is>
      </c>
      <c r="C39" s="79" t="n"/>
      <c r="D39" s="79" t="n"/>
      <c r="E39" s="79" t="n"/>
    </row>
    <row r="40" ht="42" customHeight="1">
      <c r="A40" s="77" t="inlineStr">
        <is>
          <t>Conferência de faturas</t>
        </is>
      </c>
      <c r="B40" s="78" t="inlineStr">
        <is>
          <t>Bater o valor cobrado contra o contrato. Foi assim que apareceram o Jusbrasil 30% acima e o Astrea a 5x o orçado.</t>
        </is>
      </c>
      <c r="C40" s="79" t="n"/>
      <c r="D40" s="79" t="n"/>
      <c r="E40" s="79" t="n"/>
    </row>
    <row r="41" ht="42" customHeight="1">
      <c r="A41" s="77" t="inlineStr">
        <is>
          <t>Padrão de descrição no SIENGE</t>
        </is>
      </c>
      <c r="B41" s="78" t="inlineStr">
        <is>
          <t>Em rubricas genéricas, detalhar o item na descrição do lançamento ('Peças – mouse', 'Peças – tela'), para a análise sair por filtro.</t>
        </is>
      </c>
      <c r="C41" s="79" t="n"/>
      <c r="D41" s="79" t="n"/>
      <c r="E41" s="79" t="n"/>
    </row>
    <row r="42" ht="42" customHeight="1">
      <c r="A42" s="77" t="inlineStr">
        <is>
          <t>Apoio operacional ao desenvolvimento</t>
        </is>
      </c>
      <c r="B42" s="78" t="inlineStr">
        <is>
          <t>Assumir as tarefas operacionais do que o Jonathan conduz. Cada hora que sai das mãos dele a R$ 31,25 libera uma hora de R$ 60,58 — é o que multiplica a capacidade limitada do consultor.</t>
        </is>
      </c>
      <c r="C42" s="79" t="n"/>
      <c r="D42" s="79" t="n"/>
      <c r="E42" s="79" t="n"/>
    </row>
    <row r="44" ht="22" customHeight="1">
      <c r="A44" s="24" t="inlineStr">
        <is>
          <t>JONATHAN — técnico e pontual, nunca rotina</t>
        </is>
      </c>
    </row>
    <row r="45" ht="42" customHeight="1">
      <c r="A45" s="77" t="inlineStr">
        <is>
          <t>Desenvolvimento</t>
        </is>
      </c>
      <c r="B45" s="78" t="inlineStr">
        <is>
          <t>O trabalho de projeto para o qual foi contratado, 3 dias por semana.</t>
        </is>
      </c>
      <c r="C45" s="79" t="n"/>
      <c r="D45" s="79" t="n"/>
      <c r="E45" s="79" t="n"/>
    </row>
    <row r="46" ht="42" customHeight="1">
      <c r="A46" s="77" t="inlineStr">
        <is>
          <t>Automatizar a extração do SIENGE</t>
        </is>
      </c>
      <c r="B46" s="78" t="inlineStr">
        <is>
          <t>Entrega de maior retorno: gasta algumas horas uma vez e devolve tempo do analista todo mês.</t>
        </is>
      </c>
      <c r="C46" s="79" t="n"/>
      <c r="D46" s="79" t="n"/>
      <c r="E46" s="79" t="n"/>
    </row>
    <row r="47" ht="42" customHeight="1">
      <c r="A47" s="77" t="inlineStr">
        <is>
          <t>Avaliar AnyDesk</t>
        </is>
      </c>
      <c r="B47" s="78" t="inlineStr">
        <is>
          <t>Definir necessidade, plano e valor da licença de acesso remoto.</t>
        </is>
      </c>
      <c r="C47" s="79" t="n"/>
      <c r="D47" s="79" t="n"/>
      <c r="E47" s="79" t="n"/>
    </row>
    <row r="48" ht="42" customHeight="1">
      <c r="A48" s="77" t="inlineStr">
        <is>
          <t>Avaliar Claude x GPT e planos de equipe</t>
        </is>
      </c>
      <c r="B48" s="78" t="inlineStr">
        <is>
          <t>Subsidiar a decisão do Vitor e resolver o compartilhamento de login, que hoje expõe histórico de cliente entre usuários.</t>
        </is>
      </c>
      <c r="C48" s="79" t="n"/>
      <c r="D48" s="79" t="n"/>
      <c r="E48" s="79" t="n"/>
    </row>
    <row r="49" ht="42" customHeight="1">
      <c r="A49" s="77" t="inlineStr">
        <is>
          <t>Investigar o consumo de API</t>
        </is>
      </c>
      <c r="B49" s="78" t="inlineStr">
        <is>
          <t>O gasto da OpenAI saltou de R$ 322 em mar para R$ 5.394 em abr, padrão de consumo por uso. Configurar limite rígido de gasto e definir quem pode gerar chave.</t>
        </is>
      </c>
      <c r="C49" s="79" t="n"/>
      <c r="D49" s="79" t="n"/>
      <c r="E49" s="79" t="n"/>
    </row>
    <row r="50" ht="42" customHeight="1">
      <c r="A50" s="77" t="inlineStr">
        <is>
          <t>NÃO fazer</t>
        </is>
      </c>
      <c r="B50" s="78" t="inlineStr">
        <is>
          <t>Rotina administrativa, lançamento de planilha, controle de estoque. São 104 h/mês a R$ 60,58 — se ele aparecer na rotina mensal, é sinal de que algo deveria ter sido automatizado.</t>
        </is>
      </c>
      <c r="C50" s="79" t="n"/>
      <c r="D50" s="79" t="n"/>
      <c r="E50" s="79" t="n"/>
    </row>
    <row r="52" ht="22" customHeight="1">
      <c r="A52" s="81" t="inlineStr">
        <is>
          <t>ELIAS — suporte técnico sob demanda</t>
        </is>
      </c>
    </row>
    <row r="53" ht="42" customHeight="1">
      <c r="A53" s="77" t="inlineStr">
        <is>
          <t>Acionamento pontual</t>
        </is>
      </c>
      <c r="B53" s="78" t="inlineStr">
        <is>
          <t>Contrato ativo, acionado conforme a necessidade. Sem acionamento de jan a jul/26. Valor renegociado de R$ 1.065 para R$ 603,30 a partir de set/26.</t>
        </is>
      </c>
      <c r="C53" s="79" t="n"/>
      <c r="D53" s="79" t="n"/>
      <c r="E53" s="79" t="n"/>
    </row>
    <row r="55" ht="32" customHeight="1">
      <c r="A55" s="82" t="inlineStr">
        <is>
          <t>CRITÉRIO: a hora do consultor custa o dobro da hora do analista, e são só 104 por mês. Tarefa recorrente vai para quem custa menos; capacidade cara fica reservada para o que só ela resolve. Consultor em rotina administrativa é o recurso mais caro na tarefa mais barata.</t>
        </is>
      </c>
    </row>
  </sheetData>
  <mergeCells count="44">
    <mergeCell ref="B40:E40"/>
    <mergeCell ref="B49:E49"/>
    <mergeCell ref="B30:E30"/>
    <mergeCell ref="B15:E15"/>
    <mergeCell ref="B33:E33"/>
    <mergeCell ref="A1:E1"/>
    <mergeCell ref="B24:E24"/>
    <mergeCell ref="B20:E20"/>
    <mergeCell ref="B36:E36"/>
    <mergeCell ref="B32:E32"/>
    <mergeCell ref="B45:E45"/>
    <mergeCell ref="B26:E26"/>
    <mergeCell ref="B41:E41"/>
    <mergeCell ref="B50:E50"/>
    <mergeCell ref="A25:E25"/>
    <mergeCell ref="B16:E16"/>
    <mergeCell ref="B47:E47"/>
    <mergeCell ref="B46:E46"/>
    <mergeCell ref="B22:E22"/>
    <mergeCell ref="A21:E21"/>
    <mergeCell ref="B31:E31"/>
    <mergeCell ref="A55:E55"/>
    <mergeCell ref="A12:E12"/>
    <mergeCell ref="B18:E18"/>
    <mergeCell ref="B27:E27"/>
    <mergeCell ref="A2:E2"/>
    <mergeCell ref="B48:E48"/>
    <mergeCell ref="B39:E39"/>
    <mergeCell ref="B11:E11"/>
    <mergeCell ref="B42:E42"/>
    <mergeCell ref="A17:E17"/>
    <mergeCell ref="B14:E14"/>
    <mergeCell ref="B23:E23"/>
    <mergeCell ref="A29:E29"/>
    <mergeCell ref="A35:E35"/>
    <mergeCell ref="B53:E53"/>
    <mergeCell ref="A52:E52"/>
    <mergeCell ref="A10:E10"/>
    <mergeCell ref="B13:E13"/>
    <mergeCell ref="B38:E38"/>
    <mergeCell ref="B19:E19"/>
    <mergeCell ref="B37:E37"/>
    <mergeCell ref="A44:E44"/>
    <mergeCell ref="B28:E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0"/>
  <sheetViews>
    <sheetView workbookViewId="0">
      <pane ySplit="12" topLeftCell="A13" activePane="bottomLeft" state="frozen"/>
      <selection pane="bottomLeft" activeCell="A1" sqref="A1"/>
    </sheetView>
  </sheetViews>
  <sheetFormatPr baseColWidth="8" defaultRowHeight="15"/>
  <cols>
    <col width="22" customWidth="1" min="1" max="1"/>
    <col width="18" customWidth="1" min="2" max="2"/>
    <col width="22" customWidth="1" min="3" max="3"/>
    <col width="26" customWidth="1" min="4" max="4"/>
    <col width="30" customWidth="1" min="5" max="5"/>
    <col width="18" customWidth="1" min="6" max="6"/>
    <col width="20" customWidth="1" min="7" max="7"/>
    <col width="15" customWidth="1" min="8" max="8"/>
    <col width="14" customWidth="1" min="9" max="9"/>
    <col width="30" customWidth="1" min="10" max="10"/>
  </cols>
  <sheetData>
    <row r="1" ht="30" customHeight="1">
      <c r="A1" s="1" t="inlineStr">
        <is>
          <t>CONTROLE DE EQUIPAMENTOS — solicitações, troca 1x1 e empréstimos</t>
        </is>
      </c>
    </row>
    <row r="2" ht="18" customHeight="1">
      <c r="A2" s="2" t="inlineStr">
        <is>
          <t>Registro operacional do TI. O SIENGE mostra o que foi PAGO; esta aba mostra o que foi PEDIDO — é no intervalo entre os dois que dá para avisar a área antes de estourar o saldo.</t>
        </is>
      </c>
    </row>
    <row r="4" ht="22" customHeight="1">
      <c r="A4" s="30" t="inlineStr">
        <is>
          <t>REGRAS</t>
        </is>
      </c>
    </row>
    <row r="5" ht="30" customHeight="1">
      <c r="A5" s="83" t="inlineStr">
        <is>
          <t>Troca 1x1</t>
        </is>
      </c>
      <c r="B5" s="78" t="inlineStr">
        <is>
          <t>Para receber um item novo, a pessoa entrega o que quebrou. O patrimônio devolvido é registrado na coluna própria.</t>
        </is>
      </c>
      <c r="C5" s="79" t="n"/>
      <c r="D5" s="79" t="n"/>
      <c r="E5" s="79" t="n"/>
      <c r="F5" s="79" t="n"/>
      <c r="G5" s="79" t="n"/>
      <c r="H5" s="79" t="n"/>
      <c r="I5" s="79" t="n"/>
      <c r="J5" s="79" t="n"/>
    </row>
    <row r="6" ht="30" customHeight="1">
      <c r="A6" s="83" t="inlineStr">
        <is>
          <t>Empréstimo</t>
        </is>
      </c>
      <c r="B6" s="78" t="inlineStr">
        <is>
          <t>Quem está sem o equipamento sai com um reserva na hora, para não ficar parado. O reserva é COM FIO de propósito: mais barato e menos confortável que o definitivo, o que cria o incentivo para devolver e fechar a troca.</t>
        </is>
      </c>
      <c r="C6" s="79" t="n"/>
      <c r="D6" s="79" t="n"/>
      <c r="E6" s="79" t="n"/>
      <c r="F6" s="79" t="n"/>
      <c r="G6" s="79" t="n"/>
      <c r="H6" s="79" t="n"/>
      <c r="I6" s="79" t="n"/>
      <c r="J6" s="79" t="n"/>
    </row>
    <row r="7" ht="30" customHeight="1">
      <c r="A7" s="83" t="inlineStr">
        <is>
          <t>Prazo: 7 dias</t>
        </is>
      </c>
      <c r="B7" s="78" t="inlineStr">
        <is>
          <t>O empréstimo vale por 7 dias corridos. Passou disso, o status vira 'Atrasado' e o TI cobra a devolução. A coluna 'Dias em posse' calcula sozinha a partir da data de saída.</t>
        </is>
      </c>
      <c r="C7" s="79" t="n"/>
      <c r="D7" s="79" t="n"/>
      <c r="E7" s="79" t="n"/>
      <c r="F7" s="79" t="n"/>
      <c r="G7" s="79" t="n"/>
      <c r="H7" s="79" t="n"/>
      <c r="I7" s="79" t="n"/>
      <c r="J7" s="79" t="n"/>
    </row>
    <row r="8" ht="30" customHeight="1">
      <c r="A8" s="83" t="inlineStr">
        <is>
          <t>Sem devolução</t>
        </is>
      </c>
      <c r="B8" s="78" t="inlineStr">
        <is>
          <t>Se a pessoa não entrega o item antigo, a solicitação fica 'Pendente devolução' e não vira compra até ser resolvida.</t>
        </is>
      </c>
      <c r="C8" s="79" t="n"/>
      <c r="D8" s="79" t="n"/>
      <c r="E8" s="79" t="n"/>
      <c r="F8" s="79" t="n"/>
      <c r="G8" s="79" t="n"/>
      <c r="H8" s="79" t="n"/>
      <c r="I8" s="79" t="n"/>
      <c r="J8" s="79" t="n"/>
    </row>
    <row r="9" ht="30" customHeight="1">
      <c r="A9" s="83" t="inlineStr">
        <is>
          <t>Aviso de saldo</t>
        </is>
      </c>
      <c r="B9" s="78" t="inlineStr">
        <is>
          <t>Antes de aprovar, conferir o saldo da rubrica da área solicitante. Se a compra for levar ao estouro, avisar a área ANTES de comprar (pendência R).</t>
        </is>
      </c>
      <c r="C9" s="79" t="n"/>
      <c r="D9" s="79" t="n"/>
      <c r="E9" s="79" t="n"/>
      <c r="F9" s="79" t="n"/>
      <c r="G9" s="79" t="n"/>
      <c r="H9" s="79" t="n"/>
      <c r="I9" s="79" t="n"/>
      <c r="J9" s="79" t="n"/>
    </row>
    <row r="11" ht="22" customHeight="1">
      <c r="A11" s="76" t="inlineStr">
        <is>
          <t>SOLICITAÇÕES</t>
        </is>
      </c>
    </row>
    <row r="12" ht="30" customHeight="1">
      <c r="A12" s="6" t="inlineStr">
        <is>
          <t>Data</t>
        </is>
      </c>
      <c r="B12" s="6" t="inlineStr">
        <is>
          <t>Área solicitante</t>
        </is>
      </c>
      <c r="C12" s="6" t="inlineStr">
        <is>
          <t>Solicitante</t>
        </is>
      </c>
      <c r="D12" s="6" t="inlineStr">
        <is>
          <t>Item</t>
        </is>
      </c>
      <c r="E12" s="6" t="inlineStr">
        <is>
          <t>Motivo</t>
        </is>
      </c>
      <c r="F12" s="6" t="inlineStr">
        <is>
          <t>Devolveu o antigo?</t>
        </is>
      </c>
      <c r="G12" s="6" t="inlineStr">
        <is>
          <t>Patrimônio devolvido</t>
        </is>
      </c>
      <c r="H12" s="6" t="inlineStr">
        <is>
          <t>Valor estimado</t>
        </is>
      </c>
      <c r="I12" s="6" t="inlineStr">
        <is>
          <t>Status</t>
        </is>
      </c>
      <c r="J12" s="6" t="inlineStr">
        <is>
          <t>Observações</t>
        </is>
      </c>
    </row>
    <row r="13">
      <c r="A13" s="84" t="n"/>
      <c r="B13" s="84" t="n"/>
      <c r="C13" s="84" t="n"/>
      <c r="D13" s="84" t="n"/>
      <c r="E13" s="84" t="n"/>
      <c r="F13" s="84" t="n"/>
      <c r="G13" s="84" t="n"/>
      <c r="H13" s="49" t="n"/>
      <c r="I13" s="84" t="n"/>
      <c r="J13" s="84" t="n"/>
    </row>
    <row r="14">
      <c r="A14" s="84" t="n"/>
      <c r="B14" s="84" t="n"/>
      <c r="C14" s="84" t="n"/>
      <c r="D14" s="84" t="n"/>
      <c r="E14" s="84" t="n"/>
      <c r="F14" s="84" t="n"/>
      <c r="G14" s="84" t="n"/>
      <c r="H14" s="49" t="n"/>
      <c r="I14" s="84" t="n"/>
      <c r="J14" s="84" t="n"/>
    </row>
    <row r="15">
      <c r="A15" s="84" t="n"/>
      <c r="B15" s="84" t="n"/>
      <c r="C15" s="84" t="n"/>
      <c r="D15" s="84" t="n"/>
      <c r="E15" s="84" t="n"/>
      <c r="F15" s="84" t="n"/>
      <c r="G15" s="84" t="n"/>
      <c r="H15" s="49" t="n"/>
      <c r="I15" s="84" t="n"/>
      <c r="J15" s="84" t="n"/>
    </row>
    <row r="16">
      <c r="A16" s="84" t="n"/>
      <c r="B16" s="84" t="n"/>
      <c r="C16" s="84" t="n"/>
      <c r="D16" s="84" t="n"/>
      <c r="E16" s="84" t="n"/>
      <c r="F16" s="84" t="n"/>
      <c r="G16" s="84" t="n"/>
      <c r="H16" s="49" t="n"/>
      <c r="I16" s="84" t="n"/>
      <c r="J16" s="84" t="n"/>
    </row>
    <row r="17">
      <c r="A17" s="84" t="n"/>
      <c r="B17" s="84" t="n"/>
      <c r="C17" s="84" t="n"/>
      <c r="D17" s="84" t="n"/>
      <c r="E17" s="84" t="n"/>
      <c r="F17" s="84" t="n"/>
      <c r="G17" s="84" t="n"/>
      <c r="H17" s="49" t="n"/>
      <c r="I17" s="84" t="n"/>
      <c r="J17" s="84" t="n"/>
    </row>
    <row r="18">
      <c r="A18" s="84" t="n"/>
      <c r="B18" s="84" t="n"/>
      <c r="C18" s="84" t="n"/>
      <c r="D18" s="84" t="n"/>
      <c r="E18" s="84" t="n"/>
      <c r="F18" s="84" t="n"/>
      <c r="G18" s="84" t="n"/>
      <c r="H18" s="49" t="n"/>
      <c r="I18" s="84" t="n"/>
      <c r="J18" s="84" t="n"/>
    </row>
    <row r="19">
      <c r="A19" s="84" t="n"/>
      <c r="B19" s="84" t="n"/>
      <c r="C19" s="84" t="n"/>
      <c r="D19" s="84" t="n"/>
      <c r="E19" s="84" t="n"/>
      <c r="F19" s="84" t="n"/>
      <c r="G19" s="84" t="n"/>
      <c r="H19" s="49" t="n"/>
      <c r="I19" s="84" t="n"/>
      <c r="J19" s="84" t="n"/>
    </row>
    <row r="20">
      <c r="A20" s="84" t="n"/>
      <c r="B20" s="84" t="n"/>
      <c r="C20" s="84" t="n"/>
      <c r="D20" s="84" t="n"/>
      <c r="E20" s="84" t="n"/>
      <c r="F20" s="84" t="n"/>
      <c r="G20" s="84" t="n"/>
      <c r="H20" s="49" t="n"/>
      <c r="I20" s="84" t="n"/>
      <c r="J20" s="84" t="n"/>
    </row>
    <row r="21">
      <c r="A21" s="84" t="n"/>
      <c r="B21" s="84" t="n"/>
      <c r="C21" s="84" t="n"/>
      <c r="D21" s="84" t="n"/>
      <c r="E21" s="84" t="n"/>
      <c r="F21" s="84" t="n"/>
      <c r="G21" s="84" t="n"/>
      <c r="H21" s="49" t="n"/>
      <c r="I21" s="84" t="n"/>
      <c r="J21" s="84" t="n"/>
    </row>
    <row r="22">
      <c r="A22" s="84" t="n"/>
      <c r="B22" s="84" t="n"/>
      <c r="C22" s="84" t="n"/>
      <c r="D22" s="84" t="n"/>
      <c r="E22" s="84" t="n"/>
      <c r="F22" s="84" t="n"/>
      <c r="G22" s="84" t="n"/>
      <c r="H22" s="49" t="n"/>
      <c r="I22" s="84" t="n"/>
      <c r="J22" s="84" t="n"/>
    </row>
    <row r="23">
      <c r="A23" s="84" t="n"/>
      <c r="B23" s="84" t="n"/>
      <c r="C23" s="84" t="n"/>
      <c r="D23" s="84" t="n"/>
      <c r="E23" s="84" t="n"/>
      <c r="F23" s="84" t="n"/>
      <c r="G23" s="84" t="n"/>
      <c r="H23" s="49" t="n"/>
      <c r="I23" s="84" t="n"/>
      <c r="J23" s="84" t="n"/>
    </row>
    <row r="24">
      <c r="A24" s="84" t="n"/>
      <c r="B24" s="84" t="n"/>
      <c r="C24" s="84" t="n"/>
      <c r="D24" s="84" t="n"/>
      <c r="E24" s="84" t="n"/>
      <c r="F24" s="84" t="n"/>
      <c r="G24" s="84" t="n"/>
      <c r="H24" s="49" t="n"/>
      <c r="I24" s="84" t="n"/>
      <c r="J24" s="84" t="n"/>
    </row>
    <row r="25">
      <c r="A25" s="84" t="n"/>
      <c r="B25" s="84" t="n"/>
      <c r="C25" s="84" t="n"/>
      <c r="D25" s="84" t="n"/>
      <c r="E25" s="84" t="n"/>
      <c r="F25" s="84" t="n"/>
      <c r="G25" s="84" t="n"/>
      <c r="H25" s="49" t="n"/>
      <c r="I25" s="84" t="n"/>
      <c r="J25" s="84" t="n"/>
    </row>
    <row r="26">
      <c r="A26" s="84" t="n"/>
      <c r="B26" s="84" t="n"/>
      <c r="C26" s="84" t="n"/>
      <c r="D26" s="84" t="n"/>
      <c r="E26" s="84" t="n"/>
      <c r="F26" s="84" t="n"/>
      <c r="G26" s="84" t="n"/>
      <c r="H26" s="49" t="n"/>
      <c r="I26" s="84" t="n"/>
      <c r="J26" s="84" t="n"/>
    </row>
    <row r="27">
      <c r="A27" s="84" t="n"/>
      <c r="B27" s="84" t="n"/>
      <c r="C27" s="84" t="n"/>
      <c r="D27" s="84" t="n"/>
      <c r="E27" s="84" t="n"/>
      <c r="F27" s="84" t="n"/>
      <c r="G27" s="84" t="n"/>
      <c r="H27" s="49" t="n"/>
      <c r="I27" s="84" t="n"/>
      <c r="J27" s="84" t="n"/>
    </row>
    <row r="28">
      <c r="A28" s="84" t="n"/>
      <c r="B28" s="84" t="n"/>
      <c r="C28" s="84" t="n"/>
      <c r="D28" s="84" t="n"/>
      <c r="E28" s="84" t="n"/>
      <c r="F28" s="84" t="n"/>
      <c r="G28" s="84" t="n"/>
      <c r="H28" s="49" t="n"/>
      <c r="I28" s="84" t="n"/>
      <c r="J28" s="84" t="n"/>
    </row>
    <row r="29">
      <c r="A29" s="84" t="n"/>
      <c r="B29" s="84" t="n"/>
      <c r="C29" s="84" t="n"/>
      <c r="D29" s="84" t="n"/>
      <c r="E29" s="84" t="n"/>
      <c r="F29" s="84" t="n"/>
      <c r="G29" s="84" t="n"/>
      <c r="H29" s="49" t="n"/>
      <c r="I29" s="84" t="n"/>
      <c r="J29" s="84" t="n"/>
    </row>
    <row r="30">
      <c r="A30" s="84" t="n"/>
      <c r="B30" s="84" t="n"/>
      <c r="C30" s="84" t="n"/>
      <c r="D30" s="84" t="n"/>
      <c r="E30" s="84" t="n"/>
      <c r="F30" s="84" t="n"/>
      <c r="G30" s="84" t="n"/>
      <c r="H30" s="49" t="n"/>
      <c r="I30" s="84" t="n"/>
      <c r="J30" s="84" t="n"/>
    </row>
    <row r="31">
      <c r="A31" s="84" t="n"/>
      <c r="B31" s="84" t="n"/>
      <c r="C31" s="84" t="n"/>
      <c r="D31" s="84" t="n"/>
      <c r="E31" s="84" t="n"/>
      <c r="F31" s="84" t="n"/>
      <c r="G31" s="84" t="n"/>
      <c r="H31" s="49" t="n"/>
      <c r="I31" s="84" t="n"/>
      <c r="J31" s="84" t="n"/>
    </row>
    <row r="32">
      <c r="A32" s="84" t="n"/>
      <c r="B32" s="84" t="n"/>
      <c r="C32" s="84" t="n"/>
      <c r="D32" s="84" t="n"/>
      <c r="E32" s="84" t="n"/>
      <c r="F32" s="84" t="n"/>
      <c r="G32" s="84" t="n"/>
      <c r="H32" s="49" t="n"/>
      <c r="I32" s="84" t="n"/>
      <c r="J32" s="84" t="n"/>
    </row>
    <row r="33">
      <c r="A33" s="84" t="n"/>
      <c r="B33" s="84" t="n"/>
      <c r="C33" s="84" t="n"/>
      <c r="D33" s="84" t="n"/>
      <c r="E33" s="84" t="n"/>
      <c r="F33" s="84" t="n"/>
      <c r="G33" s="84" t="n"/>
      <c r="H33" s="49" t="n"/>
      <c r="I33" s="84" t="n"/>
      <c r="J33" s="84" t="n"/>
    </row>
    <row r="34">
      <c r="A34" s="84" t="n"/>
      <c r="B34" s="84" t="n"/>
      <c r="C34" s="84" t="n"/>
      <c r="D34" s="84" t="n"/>
      <c r="E34" s="84" t="n"/>
      <c r="F34" s="84" t="n"/>
      <c r="G34" s="84" t="n"/>
      <c r="H34" s="49" t="n"/>
      <c r="I34" s="84" t="n"/>
      <c r="J34" s="84" t="n"/>
    </row>
    <row r="35">
      <c r="A35" s="84" t="n"/>
      <c r="B35" s="84" t="n"/>
      <c r="C35" s="84" t="n"/>
      <c r="D35" s="84" t="n"/>
      <c r="E35" s="84" t="n"/>
      <c r="F35" s="84" t="n"/>
      <c r="G35" s="84" t="n"/>
      <c r="H35" s="49" t="n"/>
      <c r="I35" s="84" t="n"/>
      <c r="J35" s="84" t="n"/>
    </row>
    <row r="36">
      <c r="A36" s="84" t="n"/>
      <c r="B36" s="84" t="n"/>
      <c r="C36" s="84" t="n"/>
      <c r="D36" s="84" t="n"/>
      <c r="E36" s="84" t="n"/>
      <c r="F36" s="84" t="n"/>
      <c r="G36" s="84" t="n"/>
      <c r="H36" s="49" t="n"/>
      <c r="I36" s="84" t="n"/>
      <c r="J36" s="84" t="n"/>
    </row>
    <row r="37">
      <c r="A37" s="84" t="n"/>
      <c r="B37" s="84" t="n"/>
      <c r="C37" s="84" t="n"/>
      <c r="D37" s="84" t="n"/>
      <c r="E37" s="84" t="n"/>
      <c r="F37" s="84" t="n"/>
      <c r="G37" s="84" t="n"/>
      <c r="H37" s="49" t="n"/>
      <c r="I37" s="84" t="n"/>
      <c r="J37" s="84" t="n"/>
    </row>
    <row r="38">
      <c r="A38" s="84" t="n"/>
      <c r="B38" s="84" t="n"/>
      <c r="C38" s="84" t="n"/>
      <c r="D38" s="84" t="n"/>
      <c r="E38" s="84" t="n"/>
      <c r="F38" s="84" t="n"/>
      <c r="G38" s="84" t="n"/>
      <c r="H38" s="49" t="n"/>
      <c r="I38" s="84" t="n"/>
      <c r="J38" s="84" t="n"/>
    </row>
    <row r="39">
      <c r="A39" s="84" t="n"/>
      <c r="B39" s="84" t="n"/>
      <c r="C39" s="84" t="n"/>
      <c r="D39" s="84" t="n"/>
      <c r="E39" s="84" t="n"/>
      <c r="F39" s="84" t="n"/>
      <c r="G39" s="84" t="n"/>
      <c r="H39" s="49" t="n"/>
      <c r="I39" s="84" t="n"/>
      <c r="J39" s="84" t="n"/>
    </row>
    <row r="40">
      <c r="A40" s="84" t="n"/>
      <c r="B40" s="84" t="n"/>
      <c r="C40" s="84" t="n"/>
      <c r="D40" s="84" t="n"/>
      <c r="E40" s="84" t="n"/>
      <c r="F40" s="84" t="n"/>
      <c r="G40" s="84" t="n"/>
      <c r="H40" s="49" t="n"/>
      <c r="I40" s="84" t="n"/>
      <c r="J40" s="84" t="n"/>
    </row>
    <row r="41">
      <c r="A41" s="84" t="n"/>
      <c r="B41" s="84" t="n"/>
      <c r="C41" s="84" t="n"/>
      <c r="D41" s="84" t="n"/>
      <c r="E41" s="84" t="n"/>
      <c r="F41" s="84" t="n"/>
      <c r="G41" s="84" t="n"/>
      <c r="H41" s="49" t="n"/>
      <c r="I41" s="84" t="n"/>
      <c r="J41" s="84" t="n"/>
    </row>
    <row r="42">
      <c r="A42" s="84" t="n"/>
      <c r="B42" s="84" t="n"/>
      <c r="C42" s="84" t="n"/>
      <c r="D42" s="84" t="n"/>
      <c r="E42" s="84" t="n"/>
      <c r="F42" s="84" t="n"/>
      <c r="G42" s="84" t="n"/>
      <c r="H42" s="49" t="n"/>
      <c r="I42" s="84" t="n"/>
      <c r="J42" s="84" t="n"/>
    </row>
    <row r="43">
      <c r="A43" s="84" t="n"/>
      <c r="B43" s="84" t="n"/>
      <c r="C43" s="84" t="n"/>
      <c r="D43" s="84" t="n"/>
      <c r="E43" s="84" t="n"/>
      <c r="F43" s="84" t="n"/>
      <c r="G43" s="84" t="n"/>
      <c r="H43" s="49" t="n"/>
      <c r="I43" s="84" t="n"/>
      <c r="J43" s="84" t="n"/>
    </row>
    <row r="44">
      <c r="A44" s="84" t="n"/>
      <c r="B44" s="84" t="n"/>
      <c r="C44" s="84" t="n"/>
      <c r="D44" s="84" t="n"/>
      <c r="E44" s="84" t="n"/>
      <c r="F44" s="84" t="n"/>
      <c r="G44" s="84" t="n"/>
      <c r="H44" s="49" t="n"/>
      <c r="I44" s="84" t="n"/>
      <c r="J44" s="84" t="n"/>
    </row>
    <row r="45">
      <c r="A45" s="84" t="n"/>
      <c r="B45" s="84" t="n"/>
      <c r="C45" s="84" t="n"/>
      <c r="D45" s="84" t="n"/>
      <c r="E45" s="84" t="n"/>
      <c r="F45" s="84" t="n"/>
      <c r="G45" s="84" t="n"/>
      <c r="H45" s="49" t="n"/>
      <c r="I45" s="84" t="n"/>
      <c r="J45" s="84" t="n"/>
    </row>
    <row r="46">
      <c r="A46" s="84" t="n"/>
      <c r="B46" s="84" t="n"/>
      <c r="C46" s="84" t="n"/>
      <c r="D46" s="84" t="n"/>
      <c r="E46" s="84" t="n"/>
      <c r="F46" s="84" t="n"/>
      <c r="G46" s="84" t="n"/>
      <c r="H46" s="49" t="n"/>
      <c r="I46" s="84" t="n"/>
      <c r="J46" s="84" t="n"/>
    </row>
    <row r="47">
      <c r="A47" s="84" t="n"/>
      <c r="B47" s="84" t="n"/>
      <c r="C47" s="84" t="n"/>
      <c r="D47" s="84" t="n"/>
      <c r="E47" s="84" t="n"/>
      <c r="F47" s="84" t="n"/>
      <c r="G47" s="84" t="n"/>
      <c r="H47" s="49" t="n"/>
      <c r="I47" s="84" t="n"/>
      <c r="J47" s="84" t="n"/>
    </row>
    <row r="48">
      <c r="A48" s="84" t="n"/>
      <c r="B48" s="84" t="n"/>
      <c r="C48" s="84" t="n"/>
      <c r="D48" s="84" t="n"/>
      <c r="E48" s="84" t="n"/>
      <c r="F48" s="84" t="n"/>
      <c r="G48" s="84" t="n"/>
      <c r="H48" s="49" t="n"/>
      <c r="I48" s="84" t="n"/>
      <c r="J48" s="84" t="n"/>
    </row>
    <row r="49">
      <c r="A49" s="84" t="n"/>
      <c r="B49" s="84" t="n"/>
      <c r="C49" s="84" t="n"/>
      <c r="D49" s="84" t="n"/>
      <c r="E49" s="84" t="n"/>
      <c r="F49" s="84" t="n"/>
      <c r="G49" s="84" t="n"/>
      <c r="H49" s="49" t="n"/>
      <c r="I49" s="84" t="n"/>
      <c r="J49" s="84" t="n"/>
    </row>
    <row r="50">
      <c r="A50" s="84" t="n"/>
      <c r="B50" s="84" t="n"/>
      <c r="C50" s="84" t="n"/>
      <c r="D50" s="84" t="n"/>
      <c r="E50" s="84" t="n"/>
      <c r="F50" s="84" t="n"/>
      <c r="G50" s="84" t="n"/>
      <c r="H50" s="49" t="n"/>
      <c r="I50" s="84" t="n"/>
      <c r="J50" s="84" t="n"/>
    </row>
    <row r="51">
      <c r="A51" s="84" t="n"/>
      <c r="B51" s="84" t="n"/>
      <c r="C51" s="84" t="n"/>
      <c r="D51" s="84" t="n"/>
      <c r="E51" s="84" t="n"/>
      <c r="F51" s="84" t="n"/>
      <c r="G51" s="84" t="n"/>
      <c r="H51" s="49" t="n"/>
      <c r="I51" s="84" t="n"/>
      <c r="J51" s="84" t="n"/>
    </row>
    <row r="52">
      <c r="A52" s="84" t="n"/>
      <c r="B52" s="84" t="n"/>
      <c r="C52" s="84" t="n"/>
      <c r="D52" s="84" t="n"/>
      <c r="E52" s="84" t="n"/>
      <c r="F52" s="84" t="n"/>
      <c r="G52" s="84" t="n"/>
      <c r="H52" s="49" t="n"/>
      <c r="I52" s="84" t="n"/>
      <c r="J52" s="84" t="n"/>
    </row>
    <row r="54" ht="22" customHeight="1">
      <c r="A54" s="24" t="inlineStr">
        <is>
          <t>EMPRÉSTIMOS (equipamento reserva)</t>
        </is>
      </c>
    </row>
    <row r="55" ht="30" customHeight="1">
      <c r="A55" s="85" t="inlineStr">
        <is>
          <t>Item emprestado</t>
        </is>
      </c>
      <c r="B55" s="85" t="inlineStr">
        <is>
          <t>Patrimônio</t>
        </is>
      </c>
      <c r="C55" s="85" t="inlineStr">
        <is>
          <t>Área</t>
        </is>
      </c>
      <c r="D55" s="85" t="inlineStr">
        <is>
          <t>Pessoa</t>
        </is>
      </c>
      <c r="E55" s="85" t="inlineStr">
        <is>
          <t>Saída em</t>
        </is>
      </c>
      <c r="F55" s="85" t="inlineStr">
        <is>
          <t>Previsão de devolução</t>
        </is>
      </c>
      <c r="G55" s="85" t="inlineStr">
        <is>
          <t>Devolvido em</t>
        </is>
      </c>
      <c r="H55" s="85" t="inlineStr">
        <is>
          <t>Status</t>
        </is>
      </c>
      <c r="I55" s="85" t="inlineStr">
        <is>
          <t>Dias em posse (limite: 7)</t>
        </is>
      </c>
      <c r="J55" s="85" t="inlineStr">
        <is>
          <t>Observações</t>
        </is>
      </c>
    </row>
    <row r="56">
      <c r="A56" s="84" t="n"/>
      <c r="B56" s="84" t="n"/>
      <c r="C56" s="84" t="n"/>
      <c r="D56" s="84" t="n"/>
      <c r="E56" s="84" t="n"/>
      <c r="F56" s="84" t="n"/>
      <c r="G56" s="84" t="n"/>
      <c r="H56" s="84" t="n"/>
      <c r="I56" s="86">
        <f>IF(E56="","",IF(G56="",TODAY()-E56,G56-E56))</f>
        <v/>
      </c>
      <c r="J56" s="84" t="n"/>
    </row>
    <row r="57">
      <c r="A57" s="84" t="n"/>
      <c r="B57" s="84" t="n"/>
      <c r="C57" s="84" t="n"/>
      <c r="D57" s="84" t="n"/>
      <c r="E57" s="84" t="n"/>
      <c r="F57" s="84" t="n"/>
      <c r="G57" s="84" t="n"/>
      <c r="H57" s="84" t="n"/>
      <c r="I57" s="86">
        <f>IF(E57="","",IF(G57="",TODAY()-E57,G57-E57))</f>
        <v/>
      </c>
      <c r="J57" s="84" t="n"/>
    </row>
    <row r="58">
      <c r="A58" s="84" t="n"/>
      <c r="B58" s="84" t="n"/>
      <c r="C58" s="84" t="n"/>
      <c r="D58" s="84" t="n"/>
      <c r="E58" s="84" t="n"/>
      <c r="F58" s="84" t="n"/>
      <c r="G58" s="84" t="n"/>
      <c r="H58" s="84" t="n"/>
      <c r="I58" s="86">
        <f>IF(E58="","",IF(G58="",TODAY()-E58,G58-E58))</f>
        <v/>
      </c>
      <c r="J58" s="84" t="n"/>
    </row>
    <row r="59">
      <c r="A59" s="84" t="n"/>
      <c r="B59" s="84" t="n"/>
      <c r="C59" s="84" t="n"/>
      <c r="D59" s="84" t="n"/>
      <c r="E59" s="84" t="n"/>
      <c r="F59" s="84" t="n"/>
      <c r="G59" s="84" t="n"/>
      <c r="H59" s="84" t="n"/>
      <c r="I59" s="86">
        <f>IF(E59="","",IF(G59="",TODAY()-E59,G59-E59))</f>
        <v/>
      </c>
      <c r="J59" s="84" t="n"/>
    </row>
    <row r="60">
      <c r="A60" s="84" t="n"/>
      <c r="B60" s="84" t="n"/>
      <c r="C60" s="84" t="n"/>
      <c r="D60" s="84" t="n"/>
      <c r="E60" s="84" t="n"/>
      <c r="F60" s="84" t="n"/>
      <c r="G60" s="84" t="n"/>
      <c r="H60" s="84" t="n"/>
      <c r="I60" s="86">
        <f>IF(E60="","",IF(G60="",TODAY()-E60,G60-E60))</f>
        <v/>
      </c>
      <c r="J60" s="84" t="n"/>
    </row>
    <row r="61">
      <c r="A61" s="84" t="n"/>
      <c r="B61" s="84" t="n"/>
      <c r="C61" s="84" t="n"/>
      <c r="D61" s="84" t="n"/>
      <c r="E61" s="84" t="n"/>
      <c r="F61" s="84" t="n"/>
      <c r="G61" s="84" t="n"/>
      <c r="H61" s="84" t="n"/>
      <c r="I61" s="86">
        <f>IF(E61="","",IF(G61="",TODAY()-E61,G61-E61))</f>
        <v/>
      </c>
      <c r="J61" s="84" t="n"/>
    </row>
    <row r="62">
      <c r="A62" s="84" t="n"/>
      <c r="B62" s="84" t="n"/>
      <c r="C62" s="84" t="n"/>
      <c r="D62" s="84" t="n"/>
      <c r="E62" s="84" t="n"/>
      <c r="F62" s="84" t="n"/>
      <c r="G62" s="84" t="n"/>
      <c r="H62" s="84" t="n"/>
      <c r="I62" s="86">
        <f>IF(E62="","",IF(G62="",TODAY()-E62,G62-E62))</f>
        <v/>
      </c>
      <c r="J62" s="84" t="n"/>
    </row>
    <row r="63">
      <c r="A63" s="84" t="n"/>
      <c r="B63" s="84" t="n"/>
      <c r="C63" s="84" t="n"/>
      <c r="D63" s="84" t="n"/>
      <c r="E63" s="84" t="n"/>
      <c r="F63" s="84" t="n"/>
      <c r="G63" s="84" t="n"/>
      <c r="H63" s="84" t="n"/>
      <c r="I63" s="86">
        <f>IF(E63="","",IF(G63="",TODAY()-E63,G63-E63))</f>
        <v/>
      </c>
      <c r="J63" s="84" t="n"/>
    </row>
    <row r="64">
      <c r="A64" s="84" t="n"/>
      <c r="B64" s="84" t="n"/>
      <c r="C64" s="84" t="n"/>
      <c r="D64" s="84" t="n"/>
      <c r="E64" s="84" t="n"/>
      <c r="F64" s="84" t="n"/>
      <c r="G64" s="84" t="n"/>
      <c r="H64" s="84" t="n"/>
      <c r="I64" s="86">
        <f>IF(E64="","",IF(G64="",TODAY()-E64,G64-E64))</f>
        <v/>
      </c>
      <c r="J64" s="84" t="n"/>
    </row>
    <row r="65">
      <c r="A65" s="84" t="n"/>
      <c r="B65" s="84" t="n"/>
      <c r="C65" s="84" t="n"/>
      <c r="D65" s="84" t="n"/>
      <c r="E65" s="84" t="n"/>
      <c r="F65" s="84" t="n"/>
      <c r="G65" s="84" t="n"/>
      <c r="H65" s="84" t="n"/>
      <c r="I65" s="86">
        <f>IF(E65="","",IF(G65="",TODAY()-E65,G65-E65))</f>
        <v/>
      </c>
      <c r="J65" s="84" t="n"/>
    </row>
    <row r="66">
      <c r="A66" s="84" t="n"/>
      <c r="B66" s="84" t="n"/>
      <c r="C66" s="84" t="n"/>
      <c r="D66" s="84" t="n"/>
      <c r="E66" s="84" t="n"/>
      <c r="F66" s="84" t="n"/>
      <c r="G66" s="84" t="n"/>
      <c r="H66" s="84" t="n"/>
      <c r="I66" s="86">
        <f>IF(E66="","",IF(G66="",TODAY()-E66,G66-E66))</f>
        <v/>
      </c>
      <c r="J66" s="84" t="n"/>
    </row>
    <row r="67">
      <c r="A67" s="84" t="n"/>
      <c r="B67" s="84" t="n"/>
      <c r="C67" s="84" t="n"/>
      <c r="D67" s="84" t="n"/>
      <c r="E67" s="84" t="n"/>
      <c r="F67" s="84" t="n"/>
      <c r="G67" s="84" t="n"/>
      <c r="H67" s="84" t="n"/>
      <c r="I67" s="86">
        <f>IF(E67="","",IF(G67="",TODAY()-E67,G67-E67))</f>
        <v/>
      </c>
      <c r="J67" s="84" t="n"/>
    </row>
    <row r="68">
      <c r="A68" s="84" t="n"/>
      <c r="B68" s="84" t="n"/>
      <c r="C68" s="84" t="n"/>
      <c r="D68" s="84" t="n"/>
      <c r="E68" s="84" t="n"/>
      <c r="F68" s="84" t="n"/>
      <c r="G68" s="84" t="n"/>
      <c r="H68" s="84" t="n"/>
      <c r="I68" s="86">
        <f>IF(E68="","",IF(G68="",TODAY()-E68,G68-E68))</f>
        <v/>
      </c>
      <c r="J68" s="84" t="n"/>
    </row>
    <row r="69">
      <c r="A69" s="84" t="n"/>
      <c r="B69" s="84" t="n"/>
      <c r="C69" s="84" t="n"/>
      <c r="D69" s="84" t="n"/>
      <c r="E69" s="84" t="n"/>
      <c r="F69" s="84" t="n"/>
      <c r="G69" s="84" t="n"/>
      <c r="H69" s="84" t="n"/>
      <c r="I69" s="86">
        <f>IF(E69="","",IF(G69="",TODAY()-E69,G69-E69))</f>
        <v/>
      </c>
      <c r="J69" s="84" t="n"/>
    </row>
    <row r="70">
      <c r="A70" s="84" t="n"/>
      <c r="B70" s="84" t="n"/>
      <c r="C70" s="84" t="n"/>
      <c r="D70" s="84" t="n"/>
      <c r="E70" s="84" t="n"/>
      <c r="F70" s="84" t="n"/>
      <c r="G70" s="84" t="n"/>
      <c r="H70" s="84" t="n"/>
      <c r="I70" s="86">
        <f>IF(E70="","",IF(G70="",TODAY()-E70,G70-E70))</f>
        <v/>
      </c>
      <c r="J70" s="84" t="n"/>
    </row>
    <row r="71">
      <c r="A71" s="84" t="n"/>
      <c r="B71" s="84" t="n"/>
      <c r="C71" s="84" t="n"/>
      <c r="D71" s="84" t="n"/>
      <c r="E71" s="84" t="n"/>
      <c r="F71" s="84" t="n"/>
      <c r="G71" s="84" t="n"/>
      <c r="H71" s="84" t="n"/>
      <c r="I71" s="86">
        <f>IF(E71="","",IF(G71="",TODAY()-E71,G71-E71))</f>
        <v/>
      </c>
      <c r="J71" s="84" t="n"/>
    </row>
    <row r="72">
      <c r="A72" s="84" t="n"/>
      <c r="B72" s="84" t="n"/>
      <c r="C72" s="84" t="n"/>
      <c r="D72" s="84" t="n"/>
      <c r="E72" s="84" t="n"/>
      <c r="F72" s="84" t="n"/>
      <c r="G72" s="84" t="n"/>
      <c r="H72" s="84" t="n"/>
      <c r="I72" s="86">
        <f>IF(E72="","",IF(G72="",TODAY()-E72,G72-E72))</f>
        <v/>
      </c>
      <c r="J72" s="84" t="n"/>
    </row>
    <row r="73">
      <c r="A73" s="84" t="n"/>
      <c r="B73" s="84" t="n"/>
      <c r="C73" s="84" t="n"/>
      <c r="D73" s="84" t="n"/>
      <c r="E73" s="84" t="n"/>
      <c r="F73" s="84" t="n"/>
      <c r="G73" s="84" t="n"/>
      <c r="H73" s="84" t="n"/>
      <c r="I73" s="86">
        <f>IF(E73="","",IF(G73="",TODAY()-E73,G73-E73))</f>
        <v/>
      </c>
      <c r="J73" s="84" t="n"/>
    </row>
    <row r="74">
      <c r="A74" s="84" t="n"/>
      <c r="B74" s="84" t="n"/>
      <c r="C74" s="84" t="n"/>
      <c r="D74" s="84" t="n"/>
      <c r="E74" s="84" t="n"/>
      <c r="F74" s="84" t="n"/>
      <c r="G74" s="84" t="n"/>
      <c r="H74" s="84" t="n"/>
      <c r="I74" s="86">
        <f>IF(E74="","",IF(G74="",TODAY()-E74,G74-E74))</f>
        <v/>
      </c>
      <c r="J74" s="84" t="n"/>
    </row>
    <row r="75">
      <c r="A75" s="84" t="n"/>
      <c r="B75" s="84" t="n"/>
      <c r="C75" s="84" t="n"/>
      <c r="D75" s="84" t="n"/>
      <c r="E75" s="84" t="n"/>
      <c r="F75" s="84" t="n"/>
      <c r="G75" s="84" t="n"/>
      <c r="H75" s="84" t="n"/>
      <c r="I75" s="86">
        <f>IF(E75="","",IF(G75="",TODAY()-E75,G75-E75))</f>
        <v/>
      </c>
      <c r="J75" s="84" t="n"/>
    </row>
    <row r="76">
      <c r="A76" s="84" t="n"/>
      <c r="B76" s="84" t="n"/>
      <c r="C76" s="84" t="n"/>
      <c r="D76" s="84" t="n"/>
      <c r="E76" s="84" t="n"/>
      <c r="F76" s="84" t="n"/>
      <c r="G76" s="84" t="n"/>
      <c r="H76" s="84" t="n"/>
      <c r="I76" s="86">
        <f>IF(E76="","",IF(G76="",TODAY()-E76,G76-E76))</f>
        <v/>
      </c>
      <c r="J76" s="84" t="n"/>
    </row>
    <row r="77">
      <c r="A77" s="84" t="n"/>
      <c r="B77" s="84" t="n"/>
      <c r="C77" s="84" t="n"/>
      <c r="D77" s="84" t="n"/>
      <c r="E77" s="84" t="n"/>
      <c r="F77" s="84" t="n"/>
      <c r="G77" s="84" t="n"/>
      <c r="H77" s="84" t="n"/>
      <c r="I77" s="86">
        <f>IF(E77="","",IF(G77="",TODAY()-E77,G77-E77))</f>
        <v/>
      </c>
      <c r="J77" s="84" t="n"/>
    </row>
    <row r="78">
      <c r="A78" s="84" t="n"/>
      <c r="B78" s="84" t="n"/>
      <c r="C78" s="84" t="n"/>
      <c r="D78" s="84" t="n"/>
      <c r="E78" s="84" t="n"/>
      <c r="F78" s="84" t="n"/>
      <c r="G78" s="84" t="n"/>
      <c r="H78" s="84" t="n"/>
      <c r="I78" s="86">
        <f>IF(E78="","",IF(G78="",TODAY()-E78,G78-E78))</f>
        <v/>
      </c>
      <c r="J78" s="84" t="n"/>
    </row>
    <row r="79">
      <c r="A79" s="84" t="n"/>
      <c r="B79" s="84" t="n"/>
      <c r="C79" s="84" t="n"/>
      <c r="D79" s="84" t="n"/>
      <c r="E79" s="84" t="n"/>
      <c r="F79" s="84" t="n"/>
      <c r="G79" s="84" t="n"/>
      <c r="H79" s="84" t="n"/>
      <c r="I79" s="86">
        <f>IF(E79="","",IF(G79="",TODAY()-E79,G79-E79))</f>
        <v/>
      </c>
      <c r="J79" s="84" t="n"/>
    </row>
    <row r="80">
      <c r="A80" s="84" t="n"/>
      <c r="B80" s="84" t="n"/>
      <c r="C80" s="84" t="n"/>
      <c r="D80" s="84" t="n"/>
      <c r="E80" s="84" t="n"/>
      <c r="F80" s="84" t="n"/>
      <c r="G80" s="84" t="n"/>
      <c r="H80" s="84" t="n"/>
      <c r="I80" s="86">
        <f>IF(E80="","",IF(G80="",TODAY()-E80,G80-E80))</f>
        <v/>
      </c>
      <c r="J80" s="84" t="n"/>
    </row>
  </sheetData>
  <autoFilter ref="A12:J52"/>
  <mergeCells count="10">
    <mergeCell ref="B7:J7"/>
    <mergeCell ref="A1:J1"/>
    <mergeCell ref="B5:J5"/>
    <mergeCell ref="B9:J9"/>
    <mergeCell ref="A4:J4"/>
    <mergeCell ref="B8:J8"/>
    <mergeCell ref="A2:J2"/>
    <mergeCell ref="B6:J6"/>
    <mergeCell ref="A54:J54"/>
    <mergeCell ref="A11:J11"/>
  </mergeCells>
  <conditionalFormatting sqref="I56:I80">
    <cfRule type="cellIs" priority="1" operator="greaterThan" dxfId="0">
      <formula>7</formula>
    </cfRule>
  </conditionalFormatting>
  <dataValidations count="3">
    <dataValidation sqref="I13:I52" showDropDown="0" showInputMessage="0" showErrorMessage="0" allowBlank="1" type="list">
      <formula1>"Aberta,Aguardando devolução,Aprovada,Comprada,Entregue,Negada"</formula1>
    </dataValidation>
    <dataValidation sqref="F13:F52" showDropDown="0" showInputMessage="0" showErrorMessage="0" allowBlank="1" type="list">
      <formula1>"Sim,Não,Não se aplica"</formula1>
    </dataValidation>
    <dataValidation sqref="H56:H80" showDropDown="0" showInputMessage="0" showErrorMessage="0" allowBlank="1" type="list">
      <formula1>"Emprestado,Devolvido,Atrasado,Baixado"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8" customWidth="1" min="1" max="1"/>
    <col width="14" customWidth="1" min="2" max="2"/>
    <col width="9"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0" customWidth="1" min="12" max="12"/>
  </cols>
  <sheetData>
    <row r="1" ht="30" customHeight="1">
      <c r="A1" s="1" t="inlineStr">
        <is>
          <t>CONTAS PAGAS — RESUMO POR CREDOR  (TI)</t>
        </is>
      </c>
    </row>
    <row r="2" ht="18" customHeight="1">
      <c r="A2" s="2" t="inlineStr">
        <is>
          <t>Extrato do financeiro, centro de custo "T.I". ABA DE APOIO: o centro de custo destes itens ainda não foi decidido, então nada aqui entra no Planejado, no Realizado nem no Painel. A coluna final aponta o que provavelmente já está no orçamento — confira e remova as duplicidades à mão.</t>
        </is>
      </c>
    </row>
    <row r="4" ht="30" customHeight="1">
      <c r="A4" s="46" t="inlineStr">
        <is>
          <t>Credor</t>
        </is>
      </c>
      <c r="B4" s="46" t="inlineStr">
        <is>
          <t>Centro de Custo</t>
        </is>
      </c>
      <c r="C4" s="46" t="inlineStr">
        <is>
          <t>Nº lanç.</t>
        </is>
      </c>
      <c r="D4" s="46" t="inlineStr">
        <is>
          <t>Jan/26</t>
        </is>
      </c>
      <c r="E4" s="46" t="inlineStr">
        <is>
          <t>Fev/26</t>
        </is>
      </c>
      <c r="F4" s="46" t="inlineStr">
        <is>
          <t>Mar/26</t>
        </is>
      </c>
      <c r="G4" s="46" t="inlineStr">
        <is>
          <t>Abr/26</t>
        </is>
      </c>
      <c r="H4" s="46" t="inlineStr">
        <is>
          <t>Mai/26</t>
        </is>
      </c>
      <c r="I4" s="46" t="inlineStr">
        <is>
          <t>Jun/26</t>
        </is>
      </c>
      <c r="J4" s="46" t="inlineStr">
        <is>
          <t>Jul/26</t>
        </is>
      </c>
      <c r="K4" s="46" t="inlineStr">
        <is>
          <t>TOTAL</t>
        </is>
      </c>
      <c r="L4" s="46" t="inlineStr">
        <is>
          <t>Já está no orçamento?</t>
        </is>
      </c>
    </row>
    <row r="5" ht="22" customHeight="1">
      <c r="A5" s="87" t="inlineStr">
        <is>
          <t>J H ALVES - MONITOR REMOTO</t>
        </is>
      </c>
      <c r="B5" s="87" t="inlineStr">
        <is>
          <t>T.I</t>
        </is>
      </c>
      <c r="C5" s="88" t="n">
        <v>4</v>
      </c>
      <c r="D5" s="89" t="n">
        <v>4311.56</v>
      </c>
      <c r="E5" s="89" t="n"/>
      <c r="F5" s="89" t="n"/>
      <c r="G5" s="89" t="n"/>
      <c r="H5" s="89" t="n">
        <v>3723.62</v>
      </c>
      <c r="I5" s="89" t="n">
        <v>6173.37</v>
      </c>
      <c r="J5" s="89" t="n">
        <v>6300</v>
      </c>
      <c r="K5" s="90" t="n">
        <v>20508.55</v>
      </c>
      <c r="L5" s="91" t="inlineStr">
        <is>
          <t>TI-E03 Jonathan (Monitor Remoto)</t>
        </is>
      </c>
    </row>
    <row r="6" ht="22" customHeight="1">
      <c r="A6" s="87" t="inlineStr">
        <is>
          <t>VINICIUS DI FRANCO HEITOR</t>
        </is>
      </c>
      <c r="B6" s="87" t="inlineStr">
        <is>
          <t>T.I</t>
        </is>
      </c>
      <c r="C6" s="88" t="n">
        <v>23</v>
      </c>
      <c r="D6" s="89" t="n">
        <v>2670.84</v>
      </c>
      <c r="E6" s="89" t="n">
        <v>2986.04</v>
      </c>
      <c r="F6" s="89" t="n">
        <v>2778.04</v>
      </c>
      <c r="G6" s="89" t="n">
        <v>2751.04</v>
      </c>
      <c r="H6" s="89" t="n">
        <v>2719.04</v>
      </c>
      <c r="I6" s="89" t="n">
        <v>3633.16</v>
      </c>
      <c r="J6" s="89" t="n">
        <v>2461.04</v>
      </c>
      <c r="K6" s="90" t="n">
        <v>19999.2</v>
      </c>
      <c r="L6" s="91" t="inlineStr">
        <is>
          <t>TI-E01 Vinicius Di Franco</t>
        </is>
      </c>
    </row>
    <row r="7" ht="22" customHeight="1">
      <c r="A7" s="87" t="inlineStr">
        <is>
          <t>OPENAI BRAZIL LIMITADA</t>
        </is>
      </c>
      <c r="B7" s="87" t="inlineStr">
        <is>
          <t>T.I</t>
        </is>
      </c>
      <c r="C7" s="88" t="n">
        <v>4</v>
      </c>
      <c r="D7" s="89" t="n"/>
      <c r="E7" s="89" t="n">
        <v>234.46</v>
      </c>
      <c r="F7" s="89" t="n">
        <v>321.76</v>
      </c>
      <c r="G7" s="89" t="n">
        <v>5393.88</v>
      </c>
      <c r="H7" s="89" t="n"/>
      <c r="I7" s="89" t="n"/>
      <c r="J7" s="89" t="n"/>
      <c r="K7" s="90" t="n">
        <v>5950.1</v>
      </c>
      <c r="L7" s="91" t="inlineStr">
        <is>
          <t>TI-D11 GPT</t>
        </is>
      </c>
    </row>
    <row r="8" ht="22" customHeight="1">
      <c r="A8" s="56" t="inlineStr">
        <is>
          <t>CLARO S.A.</t>
        </is>
      </c>
      <c r="B8" s="56" t="inlineStr">
        <is>
          <t>T.I</t>
        </is>
      </c>
      <c r="C8" s="53" t="n">
        <v>19</v>
      </c>
      <c r="D8" s="54" t="n">
        <v>922.1099999999999</v>
      </c>
      <c r="E8" s="54" t="n"/>
      <c r="F8" s="54" t="n">
        <v>899.5799999999999</v>
      </c>
      <c r="G8" s="54" t="n">
        <v>721.9400000000001</v>
      </c>
      <c r="H8" s="54" t="n">
        <v>965.1099999999999</v>
      </c>
      <c r="I8" s="54" t="n">
        <v>740</v>
      </c>
      <c r="J8" s="54" t="n">
        <v>979.4</v>
      </c>
      <c r="K8" s="92" t="n">
        <v>5228.139999999999</v>
      </c>
      <c r="L8" s="93" t="n"/>
    </row>
    <row r="9" ht="22" customHeight="1">
      <c r="A9" s="56" t="inlineStr">
        <is>
          <t>LOCAWEB SERVICOS DE INTERNET S/A</t>
        </is>
      </c>
      <c r="B9" s="56" t="inlineStr">
        <is>
          <t>T.I</t>
        </is>
      </c>
      <c r="C9" s="53" t="n">
        <v>8</v>
      </c>
      <c r="D9" s="54" t="n">
        <v>924.2800000000001</v>
      </c>
      <c r="E9" s="54" t="n">
        <v>99.25</v>
      </c>
      <c r="F9" s="54" t="n"/>
      <c r="G9" s="54" t="n">
        <v>1046.52</v>
      </c>
      <c r="H9" s="54" t="n">
        <v>74.81</v>
      </c>
      <c r="I9" s="54" t="n"/>
      <c r="J9" s="54" t="n">
        <v>1151.26</v>
      </c>
      <c r="K9" s="92" t="n">
        <v>3296.12</v>
      </c>
      <c r="L9" s="93" t="n"/>
    </row>
    <row r="10" ht="22" customHeight="1">
      <c r="A10" s="56" t="inlineStr">
        <is>
          <t>SABHA INTELIGENCIA EM TECNOLOGIA LTDA</t>
        </is>
      </c>
      <c r="B10" s="56" t="inlineStr">
        <is>
          <t>T.I</t>
        </is>
      </c>
      <c r="C10" s="53" t="n">
        <v>4</v>
      </c>
      <c r="D10" s="54" t="n">
        <v>723.75</v>
      </c>
      <c r="E10" s="54" t="n"/>
      <c r="F10" s="54" t="n"/>
      <c r="G10" s="54" t="n"/>
      <c r="H10" s="54" t="n">
        <v>741.1</v>
      </c>
      <c r="I10" s="54" t="n">
        <v>740.38</v>
      </c>
      <c r="J10" s="54" t="n">
        <v>1037.38</v>
      </c>
      <c r="K10" s="92" t="n">
        <v>3242.61</v>
      </c>
      <c r="L10" s="93" t="n"/>
    </row>
    <row r="11" ht="22" customHeight="1">
      <c r="A11" s="87" t="inlineStr">
        <is>
          <t>Vale Alimentação Vinicius</t>
        </is>
      </c>
      <c r="B11" s="87" t="inlineStr">
        <is>
          <t>T.I</t>
        </is>
      </c>
      <c r="C11" s="88" t="n">
        <v>6</v>
      </c>
      <c r="D11" s="89" t="n"/>
      <c r="E11" s="89" t="n">
        <v>485</v>
      </c>
      <c r="F11" s="89" t="n">
        <v>485</v>
      </c>
      <c r="G11" s="89" t="n">
        <v>485</v>
      </c>
      <c r="H11" s="89" t="n">
        <v>485</v>
      </c>
      <c r="I11" s="89" t="n">
        <v>485</v>
      </c>
      <c r="J11" s="89" t="n">
        <v>485</v>
      </c>
      <c r="K11" s="90" t="n">
        <v>2910</v>
      </c>
      <c r="L11" s="91" t="inlineStr">
        <is>
          <t>TI-E01 Vinicius (benefício)</t>
        </is>
      </c>
    </row>
    <row r="12" ht="22" customHeight="1">
      <c r="A12" s="56" t="inlineStr">
        <is>
          <t>TIM S A</t>
        </is>
      </c>
      <c r="B12" s="56" t="inlineStr">
        <is>
          <t>T.I</t>
        </is>
      </c>
      <c r="C12" s="53" t="n">
        <v>3</v>
      </c>
      <c r="D12" s="54" t="n">
        <v>331.42</v>
      </c>
      <c r="E12" s="54" t="n">
        <v>338.5</v>
      </c>
      <c r="F12" s="54" t="n">
        <v>284.63</v>
      </c>
      <c r="G12" s="54" t="n"/>
      <c r="H12" s="54" t="n"/>
      <c r="I12" s="54" t="n"/>
      <c r="J12" s="54" t="n"/>
      <c r="K12" s="92" t="n">
        <v>954.5500000000001</v>
      </c>
      <c r="L12" s="93" t="n"/>
    </row>
    <row r="13" ht="22" customHeight="1">
      <c r="A13" s="56" t="inlineStr">
        <is>
          <t>VC1 SOLUCOES EM TECNOLOGIA EIRELI</t>
        </is>
      </c>
      <c r="B13" s="56" t="inlineStr">
        <is>
          <t>T.I</t>
        </is>
      </c>
      <c r="C13" s="53" t="n">
        <v>6</v>
      </c>
      <c r="D13" s="54" t="n"/>
      <c r="E13" s="54" t="n">
        <v>275.84</v>
      </c>
      <c r="F13" s="54" t="n">
        <v>137.9</v>
      </c>
      <c r="G13" s="54" t="n">
        <v>137.9</v>
      </c>
      <c r="H13" s="54" t="n">
        <v>137.92</v>
      </c>
      <c r="I13" s="54" t="n">
        <v>137.93</v>
      </c>
      <c r="J13" s="54" t="n"/>
      <c r="K13" s="92" t="n">
        <v>827.49</v>
      </c>
      <c r="L13" s="93" t="n"/>
    </row>
    <row r="14" ht="22" customHeight="1">
      <c r="A14" s="56" t="inlineStr">
        <is>
          <t>TELEFONICA BRASIL S.A.</t>
        </is>
      </c>
      <c r="B14" s="56" t="inlineStr">
        <is>
          <t>T.I</t>
        </is>
      </c>
      <c r="C14" s="53" t="n">
        <v>7</v>
      </c>
      <c r="D14" s="54" t="n">
        <v>51.63</v>
      </c>
      <c r="E14" s="54" t="n">
        <v>102.32</v>
      </c>
      <c r="F14" s="54" t="n">
        <v>50</v>
      </c>
      <c r="G14" s="54" t="n"/>
      <c r="H14" s="54" t="n"/>
      <c r="I14" s="54" t="n">
        <v>554.58</v>
      </c>
      <c r="J14" s="54" t="n"/>
      <c r="K14" s="92" t="n">
        <v>758.53</v>
      </c>
      <c r="L14" s="93" t="n"/>
    </row>
    <row r="15" ht="22" customHeight="1">
      <c r="A15" s="56" t="inlineStr">
        <is>
          <t>WEB MOBILE TELECOM LTDA</t>
        </is>
      </c>
      <c r="B15" s="56" t="inlineStr">
        <is>
          <t>T.I</t>
        </is>
      </c>
      <c r="C15" s="53" t="n">
        <v>8</v>
      </c>
      <c r="D15" s="54" t="n">
        <v>82.5</v>
      </c>
      <c r="E15" s="54" t="n">
        <v>75</v>
      </c>
      <c r="F15" s="54" t="n">
        <v>225</v>
      </c>
      <c r="G15" s="54" t="n">
        <v>75</v>
      </c>
      <c r="H15" s="54" t="n">
        <v>75</v>
      </c>
      <c r="I15" s="54" t="n">
        <v>75</v>
      </c>
      <c r="J15" s="54" t="n">
        <v>82.5</v>
      </c>
      <c r="K15" s="92" t="n">
        <v>690</v>
      </c>
      <c r="L15" s="93" t="n"/>
    </row>
    <row r="16" ht="22" customHeight="1">
      <c r="A16" s="56" t="inlineStr">
        <is>
          <t>INTELBRAS S.A. INDUSTRIA DE TELECOMUNICACAO ELETRONICA BRASILEIRA</t>
        </is>
      </c>
      <c r="B16" s="56" t="inlineStr">
        <is>
          <t>T.I</t>
        </is>
      </c>
      <c r="C16" s="53" t="n">
        <v>7</v>
      </c>
      <c r="D16" s="54" t="n">
        <v>79.59999999999999</v>
      </c>
      <c r="E16" s="54" t="n"/>
      <c r="F16" s="54" t="n">
        <v>159.2</v>
      </c>
      <c r="G16" s="54" t="n">
        <v>79.59999999999999</v>
      </c>
      <c r="H16" s="54" t="n"/>
      <c r="I16" s="54" t="n">
        <v>164.42</v>
      </c>
      <c r="J16" s="54" t="n">
        <v>79.59999999999999</v>
      </c>
      <c r="K16" s="92" t="n">
        <v>562.42</v>
      </c>
      <c r="L16" s="93" t="n"/>
    </row>
    <row r="17" ht="22" customHeight="1">
      <c r="A17" s="56" t="inlineStr">
        <is>
          <t>ALFAMA PROCESSAMENTO DE DADOS LTDA</t>
        </is>
      </c>
      <c r="B17" s="56" t="inlineStr">
        <is>
          <t>T.I</t>
        </is>
      </c>
      <c r="C17" s="53" t="n">
        <v>1</v>
      </c>
      <c r="D17" s="54" t="n"/>
      <c r="E17" s="54" t="n"/>
      <c r="F17" s="54" t="n"/>
      <c r="G17" s="54" t="n"/>
      <c r="H17" s="54" t="n"/>
      <c r="I17" s="54" t="n">
        <v>183.6</v>
      </c>
      <c r="J17" s="54" t="n"/>
      <c r="K17" s="92" t="n">
        <v>183.6</v>
      </c>
      <c r="L17" s="93" t="n"/>
    </row>
    <row r="18">
      <c r="A18" s="51" t="inlineStr">
        <is>
          <t>TOTAL</t>
        </is>
      </c>
      <c r="B18" s="51" t="n"/>
      <c r="C18" s="51" t="n"/>
      <c r="D18" s="52">
        <f>SUM(D5:D17)</f>
        <v/>
      </c>
      <c r="E18" s="52">
        <f>SUM(E5:E17)</f>
        <v/>
      </c>
      <c r="F18" s="52">
        <f>SUM(F5:F17)</f>
        <v/>
      </c>
      <c r="G18" s="52">
        <f>SUM(G5:G17)</f>
        <v/>
      </c>
      <c r="H18" s="52">
        <f>SUM(H5:H17)</f>
        <v/>
      </c>
      <c r="I18" s="52">
        <f>SUM(I5:I17)</f>
        <v/>
      </c>
      <c r="J18" s="52">
        <f>SUM(J5:J17)</f>
        <v/>
      </c>
      <c r="K18" s="52">
        <f>SUM(K5:K17)</f>
        <v/>
      </c>
      <c r="L18" s="51" t="n"/>
    </row>
  </sheetData>
  <autoFilter ref="A4:L17"/>
  <mergeCells count="2">
    <mergeCell ref="A2:L2"/>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0" customWidth="1" min="1" max="1"/>
    <col width="17" customWidth="1" min="2" max="2"/>
    <col width="56" customWidth="1" min="3" max="3"/>
    <col width="26" customWidth="1" min="4" max="4"/>
    <col width="14" customWidth="1" min="5" max="5"/>
    <col width="18" customWidth="1" min="6" max="6"/>
    <col width="14" customWidth="1" min="7" max="7"/>
    <col width="15" customWidth="1" min="8" max="8"/>
  </cols>
  <sheetData>
    <row r="1" ht="30" customHeight="1">
      <c r="A1" s="1" t="inlineStr">
        <is>
          <t>CONTAS PAGAS — DETALHE  (TI)</t>
        </is>
      </c>
    </row>
    <row r="2" ht="18" customHeight="1">
      <c r="A2" s="2" t="inlineStr">
        <is>
          <t>Um lançamento por linha, como veio do financeiro. Use o filtro do cabeçalho para conferir credor, empreendimento ou mês.</t>
        </is>
      </c>
    </row>
    <row r="4" ht="30" customHeight="1">
      <c r="A4" s="46" t="inlineStr">
        <is>
          <t>Mês</t>
        </is>
      </c>
      <c r="B4" s="46" t="inlineStr">
        <is>
          <t>Data de Pagamento</t>
        </is>
      </c>
      <c r="C4" s="46" t="inlineStr">
        <is>
          <t>Credor</t>
        </is>
      </c>
      <c r="D4" s="46" t="inlineStr">
        <is>
          <t>Documento</t>
        </is>
      </c>
      <c r="E4" s="46" t="inlineStr">
        <is>
          <t>Título</t>
        </is>
      </c>
      <c r="F4" s="46" t="inlineStr">
        <is>
          <t>Empreendimento</t>
        </is>
      </c>
      <c r="G4" s="46" t="inlineStr">
        <is>
          <t>Centro de Custo</t>
        </is>
      </c>
      <c r="H4" s="46" t="inlineStr">
        <is>
          <t>Valor Líquido</t>
        </is>
      </c>
    </row>
    <row r="5">
      <c r="A5" s="94" t="inlineStr">
        <is>
          <t>Jan/26</t>
        </is>
      </c>
      <c r="B5" s="94" t="inlineStr">
        <is>
          <t>09/01/2026</t>
        </is>
      </c>
      <c r="C5" s="94" t="inlineStr">
        <is>
          <t>CLARO S.A.</t>
        </is>
      </c>
      <c r="D5" s="94" t="inlineStr">
        <is>
          <t>FAT.11.25</t>
        </is>
      </c>
      <c r="E5" s="94" t="inlineStr">
        <is>
          <t>95941/1</t>
        </is>
      </c>
      <c r="F5" s="94" t="inlineStr">
        <is>
          <t>Tetus</t>
        </is>
      </c>
      <c r="G5" s="94" t="inlineStr">
        <is>
          <t>T.I</t>
        </is>
      </c>
      <c r="H5" s="95" t="n">
        <v>407.4</v>
      </c>
    </row>
    <row r="6">
      <c r="A6" s="94" t="inlineStr">
        <is>
          <t>Jan/26</t>
        </is>
      </c>
      <c r="B6" s="94" t="inlineStr">
        <is>
          <t>28/01/2026</t>
        </is>
      </c>
      <c r="C6" s="94" t="inlineStr">
        <is>
          <t>CLARO S.A.</t>
        </is>
      </c>
      <c r="D6" s="94" t="inlineStr">
        <is>
          <t>FAT.01.26</t>
        </is>
      </c>
      <c r="E6" s="94" t="inlineStr">
        <is>
          <t>97478/1</t>
        </is>
      </c>
      <c r="F6" s="94" t="inlineStr">
        <is>
          <t>Tetus</t>
        </is>
      </c>
      <c r="G6" s="94" t="inlineStr">
        <is>
          <t>T.I</t>
        </is>
      </c>
      <c r="H6" s="95" t="n">
        <v>390.95</v>
      </c>
    </row>
    <row r="7">
      <c r="A7" s="94" t="inlineStr">
        <is>
          <t>Jan/26</t>
        </is>
      </c>
      <c r="B7" s="94" t="inlineStr">
        <is>
          <t>28/01/2026</t>
        </is>
      </c>
      <c r="C7" s="94" t="inlineStr">
        <is>
          <t>CLARO S.A.</t>
        </is>
      </c>
      <c r="D7" s="94" t="inlineStr">
        <is>
          <t>FAT.184180933</t>
        </is>
      </c>
      <c r="E7" s="94" t="inlineStr">
        <is>
          <t>97480/1</t>
        </is>
      </c>
      <c r="F7" s="94" t="inlineStr">
        <is>
          <t>Tetus</t>
        </is>
      </c>
      <c r="G7" s="94" t="inlineStr">
        <is>
          <t>T.I</t>
        </is>
      </c>
      <c r="H7" s="95" t="n">
        <v>123.76</v>
      </c>
    </row>
    <row r="8">
      <c r="A8" s="94" t="inlineStr">
        <is>
          <t>Jan/26</t>
        </is>
      </c>
      <c r="B8" s="94" t="inlineStr">
        <is>
          <t>30/01/2026</t>
        </is>
      </c>
      <c r="C8" s="94" t="inlineStr">
        <is>
          <t>INTELBRAS S.A. INDUSTRIA DE TELECOMUNICACAO ELETRONICA BRASILEIRA</t>
        </is>
      </c>
      <c r="D8" s="94" t="inlineStr">
        <is>
          <t>NFS.347106</t>
        </is>
      </c>
      <c r="E8" s="94" t="inlineStr">
        <is>
          <t>96534/1</t>
        </is>
      </c>
      <c r="F8" s="94" t="inlineStr">
        <is>
          <t>Tetus</t>
        </is>
      </c>
      <c r="G8" s="94" t="inlineStr">
        <is>
          <t>T.I</t>
        </is>
      </c>
      <c r="H8" s="95" t="n">
        <v>79.59999999999999</v>
      </c>
    </row>
    <row r="9">
      <c r="A9" s="94" t="inlineStr">
        <is>
          <t>Jan/26</t>
        </is>
      </c>
      <c r="B9" s="94" t="inlineStr">
        <is>
          <t>19/01/2026</t>
        </is>
      </c>
      <c r="C9" s="94" t="inlineStr">
        <is>
          <t>J H ALVES - MONITOR REMOTO</t>
        </is>
      </c>
      <c r="D9" s="94" t="inlineStr">
        <is>
          <t>NFS.70</t>
        </is>
      </c>
      <c r="E9" s="94" t="inlineStr">
        <is>
          <t>96602/1</t>
        </is>
      </c>
      <c r="F9" s="94" t="inlineStr">
        <is>
          <t>Tetus</t>
        </is>
      </c>
      <c r="G9" s="94" t="inlineStr">
        <is>
          <t>T.I</t>
        </is>
      </c>
      <c r="H9" s="95" t="n">
        <v>4311.56</v>
      </c>
    </row>
    <row r="10">
      <c r="A10" s="94" t="inlineStr">
        <is>
          <t>Jan/26</t>
        </is>
      </c>
      <c r="B10" s="94" t="inlineStr">
        <is>
          <t>08/01/2026</t>
        </is>
      </c>
      <c r="C10" s="94" t="inlineStr">
        <is>
          <t>LOCAWEB SERVICOS DE INTERNET S/A</t>
        </is>
      </c>
      <c r="D10" s="94" t="inlineStr">
        <is>
          <t>AV.LIC EMAILS 01.25</t>
        </is>
      </c>
      <c r="E10" s="94" t="inlineStr">
        <is>
          <t>96014/1</t>
        </is>
      </c>
      <c r="F10" s="94" t="inlineStr">
        <is>
          <t>Tetus</t>
        </is>
      </c>
      <c r="G10" s="94" t="inlineStr">
        <is>
          <t>T.I</t>
        </is>
      </c>
      <c r="H10" s="95" t="n">
        <v>6.2</v>
      </c>
    </row>
    <row r="11">
      <c r="A11" s="94" t="inlineStr">
        <is>
          <t>Jan/26</t>
        </is>
      </c>
      <c r="B11" s="94" t="inlineStr">
        <is>
          <t>25/01/2026</t>
        </is>
      </c>
      <c r="C11" s="94" t="inlineStr">
        <is>
          <t>LOCAWEB SERVICOS DE INTERNET S/A</t>
        </is>
      </c>
      <c r="D11" s="94" t="inlineStr">
        <is>
          <t>BOL.13.01</t>
        </is>
      </c>
      <c r="E11" s="94" t="inlineStr">
        <is>
          <t>96623/1</t>
        </is>
      </c>
      <c r="F11" s="94" t="inlineStr">
        <is>
          <t>Tetus</t>
        </is>
      </c>
      <c r="G11" s="94" t="inlineStr">
        <is>
          <t>T.I</t>
        </is>
      </c>
      <c r="H11" s="95" t="n">
        <v>918.08</v>
      </c>
    </row>
    <row r="12">
      <c r="A12" s="94" t="inlineStr">
        <is>
          <t>Jan/26</t>
        </is>
      </c>
      <c r="B12" s="94" t="inlineStr">
        <is>
          <t>30/01/2026</t>
        </is>
      </c>
      <c r="C12" s="94" t="inlineStr">
        <is>
          <t>SABHA INTELIGENCIA EM TECNOLOGIA LTDA</t>
        </is>
      </c>
      <c r="D12" s="94" t="inlineStr">
        <is>
          <t>FAT.2682</t>
        </is>
      </c>
      <c r="E12" s="94" t="inlineStr">
        <is>
          <t>96458/1</t>
        </is>
      </c>
      <c r="F12" s="94" t="inlineStr">
        <is>
          <t>Tetus</t>
        </is>
      </c>
      <c r="G12" s="94" t="inlineStr">
        <is>
          <t>T.I</t>
        </is>
      </c>
      <c r="H12" s="95" t="n">
        <v>723.75</v>
      </c>
    </row>
    <row r="13">
      <c r="A13" s="94" t="inlineStr">
        <is>
          <t>Jan/26</t>
        </is>
      </c>
      <c r="B13" s="94" t="inlineStr">
        <is>
          <t>12/01/2026</t>
        </is>
      </c>
      <c r="C13" s="94" t="inlineStr">
        <is>
          <t>TELEFONICA BRASIL S.A.</t>
        </is>
      </c>
      <c r="D13" s="94" t="inlineStr">
        <is>
          <t>FAT.2011241340</t>
        </is>
      </c>
      <c r="E13" s="94" t="inlineStr">
        <is>
          <t>96088/1</t>
        </is>
      </c>
      <c r="F13" s="94" t="inlineStr">
        <is>
          <t>Tetus</t>
        </is>
      </c>
      <c r="G13" s="94" t="inlineStr">
        <is>
          <t>T.I</t>
        </is>
      </c>
      <c r="H13" s="95" t="n">
        <v>51.63</v>
      </c>
    </row>
    <row r="14">
      <c r="A14" s="94" t="inlineStr">
        <is>
          <t>Jan/26</t>
        </is>
      </c>
      <c r="B14" s="94" t="inlineStr">
        <is>
          <t>22/01/2026</t>
        </is>
      </c>
      <c r="C14" s="94" t="inlineStr">
        <is>
          <t>TIM S A</t>
        </is>
      </c>
      <c r="D14" s="94" t="inlineStr">
        <is>
          <t>FAT.5664047504</t>
        </is>
      </c>
      <c r="E14" s="94" t="inlineStr">
        <is>
          <t>96789/1</t>
        </is>
      </c>
      <c r="F14" s="94" t="inlineStr">
        <is>
          <t>Tetus</t>
        </is>
      </c>
      <c r="G14" s="94" t="inlineStr">
        <is>
          <t>T.I</t>
        </is>
      </c>
      <c r="H14" s="95" t="n">
        <v>331.42</v>
      </c>
    </row>
    <row r="15">
      <c r="A15" s="94" t="inlineStr">
        <is>
          <t>Jan/26</t>
        </is>
      </c>
      <c r="B15" s="94" t="inlineStr">
        <is>
          <t>26/01/2026</t>
        </is>
      </c>
      <c r="C15" s="94" t="inlineStr">
        <is>
          <t>VINICIUS DI FRANCO HEITOR</t>
        </is>
      </c>
      <c r="D15" s="94" t="inlineStr">
        <is>
          <t>CX.16.01.26</t>
        </is>
      </c>
      <c r="E15" s="94" t="inlineStr">
        <is>
          <t>97067/1</t>
        </is>
      </c>
      <c r="F15" s="94" t="inlineStr">
        <is>
          <t>Tetus</t>
        </is>
      </c>
      <c r="G15" s="94" t="inlineStr">
        <is>
          <t>T.I</t>
        </is>
      </c>
      <c r="H15" s="95" t="n">
        <v>39.84</v>
      </c>
    </row>
    <row r="16">
      <c r="A16" s="94" t="inlineStr">
        <is>
          <t>Jan/26</t>
        </is>
      </c>
      <c r="B16" s="94" t="inlineStr">
        <is>
          <t>07/01/2026</t>
        </is>
      </c>
      <c r="C16" s="94" t="inlineStr">
        <is>
          <t>VINICIUS DI FRANCO HEITOR</t>
        </is>
      </c>
      <c r="D16" s="94" t="inlineStr">
        <is>
          <t>SAL.Sal_122025</t>
        </is>
      </c>
      <c r="E16" s="94" t="inlineStr">
        <is>
          <t>96252/1</t>
        </is>
      </c>
      <c r="F16" s="94" t="inlineStr">
        <is>
          <t>Tetus</t>
        </is>
      </c>
      <c r="G16" s="94" t="inlineStr">
        <is>
          <t>T.I</t>
        </is>
      </c>
      <c r="H16" s="95" t="n">
        <v>1602</v>
      </c>
    </row>
    <row r="17">
      <c r="A17" s="94" t="inlineStr">
        <is>
          <t>Jan/26</t>
        </is>
      </c>
      <c r="B17" s="94" t="inlineStr">
        <is>
          <t>20/01/2026</t>
        </is>
      </c>
      <c r="C17" s="94" t="inlineStr">
        <is>
          <t>VINICIUS DI FRANCO HEITOR</t>
        </is>
      </c>
      <c r="D17" s="94" t="inlineStr">
        <is>
          <t>SAL.VALE_ 012026</t>
        </is>
      </c>
      <c r="E17" s="94" t="inlineStr">
        <is>
          <t>97269/1</t>
        </is>
      </c>
      <c r="F17" s="94" t="inlineStr">
        <is>
          <t>Tetus</t>
        </is>
      </c>
      <c r="G17" s="94" t="inlineStr">
        <is>
          <t>T.I</t>
        </is>
      </c>
      <c r="H17" s="95" t="n">
        <v>1029</v>
      </c>
    </row>
    <row r="18">
      <c r="A18" s="94" t="inlineStr">
        <is>
          <t>Jan/26</t>
        </is>
      </c>
      <c r="B18" s="94" t="inlineStr">
        <is>
          <t>27/01/2026</t>
        </is>
      </c>
      <c r="C18" s="94" t="inlineStr">
        <is>
          <t>WEB MOBILE TELECOM LTDA</t>
        </is>
      </c>
      <c r="D18" s="94" t="inlineStr">
        <is>
          <t>BOL.1</t>
        </is>
      </c>
      <c r="E18" s="94" t="inlineStr">
        <is>
          <t>97204/1</t>
        </is>
      </c>
      <c r="F18" s="94" t="inlineStr">
        <is>
          <t>Tetus</t>
        </is>
      </c>
      <c r="G18" s="94" t="inlineStr">
        <is>
          <t>T.I</t>
        </is>
      </c>
      <c r="H18" s="95" t="n">
        <v>82.5</v>
      </c>
    </row>
    <row r="19">
      <c r="A19" s="94" t="inlineStr">
        <is>
          <t>Fev/26</t>
        </is>
      </c>
      <c r="B19" s="94" t="inlineStr">
        <is>
          <t>04/02/2026</t>
        </is>
      </c>
      <c r="C19" s="94" t="inlineStr">
        <is>
          <t>LOCAWEB SERVICOS DE INTERNET S/A</t>
        </is>
      </c>
      <c r="D19" s="94" t="inlineStr">
        <is>
          <t>AV.04.02.26</t>
        </is>
      </c>
      <c r="E19" s="94" t="inlineStr">
        <is>
          <t>98500/1</t>
        </is>
      </c>
      <c r="F19" s="94" t="inlineStr">
        <is>
          <t>Tetus</t>
        </is>
      </c>
      <c r="G19" s="94" t="inlineStr">
        <is>
          <t>T.I</t>
        </is>
      </c>
      <c r="H19" s="95" t="n">
        <v>26.67</v>
      </c>
    </row>
    <row r="20">
      <c r="A20" s="94" t="inlineStr">
        <is>
          <t>Fev/26</t>
        </is>
      </c>
      <c r="B20" s="94" t="inlineStr">
        <is>
          <t>15/02/2026</t>
        </is>
      </c>
      <c r="C20" s="94" t="inlineStr">
        <is>
          <t>LOCAWEB SERVICOS DE INTERNET S/A</t>
        </is>
      </c>
      <c r="D20" s="94" t="inlineStr">
        <is>
          <t>AV.12.02.26 LCW</t>
        </is>
      </c>
      <c r="E20" s="94" t="inlineStr">
        <is>
          <t>99336/1</t>
        </is>
      </c>
      <c r="F20" s="94" t="inlineStr">
        <is>
          <t>Tetus</t>
        </is>
      </c>
      <c r="G20" s="94" t="inlineStr">
        <is>
          <t>T.I</t>
        </is>
      </c>
      <c r="H20" s="95" t="n">
        <v>72.58</v>
      </c>
    </row>
    <row r="21">
      <c r="A21" s="94" t="inlineStr">
        <is>
          <t>Fev/26</t>
        </is>
      </c>
      <c r="B21" s="94" t="inlineStr">
        <is>
          <t>15/02/2026</t>
        </is>
      </c>
      <c r="C21" s="94" t="inlineStr">
        <is>
          <t>OPENAI BRAZIL LIMITADA</t>
        </is>
      </c>
      <c r="D21" s="94" t="inlineStr">
        <is>
          <t>AV.CHATGPT JUR 2026</t>
        </is>
      </c>
      <c r="E21" s="94" t="inlineStr">
        <is>
          <t>95104/2</t>
        </is>
      </c>
      <c r="F21" s="94" t="inlineStr">
        <is>
          <t>Tetus</t>
        </is>
      </c>
      <c r="G21" s="94" t="inlineStr">
        <is>
          <t>T.I</t>
        </is>
      </c>
      <c r="H21" s="95" t="n">
        <v>234.46</v>
      </c>
    </row>
    <row r="22">
      <c r="A22" s="94" t="inlineStr">
        <is>
          <t>Fev/26</t>
        </is>
      </c>
      <c r="B22" s="94" t="inlineStr">
        <is>
          <t>24/02/2026</t>
        </is>
      </c>
      <c r="C22" s="94" t="inlineStr">
        <is>
          <t>TELEFONICA BRASIL S.A.</t>
        </is>
      </c>
      <c r="D22" s="94" t="inlineStr">
        <is>
          <t>FAT.3575377</t>
        </is>
      </c>
      <c r="E22" s="94" t="inlineStr">
        <is>
          <t>100172/1</t>
        </is>
      </c>
      <c r="F22" s="94" t="inlineStr">
        <is>
          <t>Tetus</t>
        </is>
      </c>
      <c r="G22" s="94" t="inlineStr">
        <is>
          <t>T.I</t>
        </is>
      </c>
      <c r="H22" s="95" t="n">
        <v>52.32</v>
      </c>
    </row>
    <row r="23">
      <c r="A23" s="94" t="inlineStr">
        <is>
          <t>Fev/26</t>
        </is>
      </c>
      <c r="B23" s="94" t="inlineStr">
        <is>
          <t>24/02/2026</t>
        </is>
      </c>
      <c r="C23" s="94" t="inlineStr">
        <is>
          <t>TELEFONICA BRASIL S.A.</t>
        </is>
      </c>
      <c r="D23" s="94" t="inlineStr">
        <is>
          <t>FAT.5290953</t>
        </is>
      </c>
      <c r="E23" s="94" t="inlineStr">
        <is>
          <t>100173/1</t>
        </is>
      </c>
      <c r="F23" s="94" t="inlineStr">
        <is>
          <t>Tetus</t>
        </is>
      </c>
      <c r="G23" s="94" t="inlineStr">
        <is>
          <t>T.I</t>
        </is>
      </c>
      <c r="H23" s="95" t="n">
        <v>50</v>
      </c>
    </row>
    <row r="24">
      <c r="A24" s="94" t="inlineStr">
        <is>
          <t>Fev/26</t>
        </is>
      </c>
      <c r="B24" s="94" t="inlineStr">
        <is>
          <t>27/02/2026</t>
        </is>
      </c>
      <c r="C24" s="94" t="inlineStr">
        <is>
          <t>TIM S A</t>
        </is>
      </c>
      <c r="D24" s="94" t="inlineStr">
        <is>
          <t>BOL.141</t>
        </is>
      </c>
      <c r="E24" s="94" t="inlineStr">
        <is>
          <t>99947/1</t>
        </is>
      </c>
      <c r="F24" s="94" t="inlineStr">
        <is>
          <t>Tetus</t>
        </is>
      </c>
      <c r="G24" s="94" t="inlineStr">
        <is>
          <t>T.I</t>
        </is>
      </c>
      <c r="H24" s="95" t="n">
        <v>338.5</v>
      </c>
    </row>
    <row r="25">
      <c r="A25" s="94" t="inlineStr">
        <is>
          <t>Fev/26</t>
        </is>
      </c>
      <c r="B25" s="94" t="inlineStr">
        <is>
          <t>13/02/2026</t>
        </is>
      </c>
      <c r="C25" s="94" t="inlineStr">
        <is>
          <t>VC1 SOLUCOES EM TECNOLOGIA EIRELI</t>
        </is>
      </c>
      <c r="D25" s="94" t="inlineStr">
        <is>
          <t>BOL.26449</t>
        </is>
      </c>
      <c r="E25" s="94" t="inlineStr">
        <is>
          <t>99484/1</t>
        </is>
      </c>
      <c r="F25" s="94" t="inlineStr">
        <is>
          <t>Tetus</t>
        </is>
      </c>
      <c r="G25" s="94" t="inlineStr">
        <is>
          <t>T.I</t>
        </is>
      </c>
      <c r="H25" s="95" t="n">
        <v>137.94</v>
      </c>
    </row>
    <row r="26">
      <c r="A26" s="94" t="inlineStr">
        <is>
          <t>Fev/26</t>
        </is>
      </c>
      <c r="B26" s="94" t="inlineStr">
        <is>
          <t>19/02/2026</t>
        </is>
      </c>
      <c r="C26" s="94" t="inlineStr">
        <is>
          <t>VC1 SOLUCOES EM TECNOLOGIA EIRELI</t>
        </is>
      </c>
      <c r="D26" s="94" t="inlineStr">
        <is>
          <t>BOL.27256</t>
        </is>
      </c>
      <c r="E26" s="94" t="inlineStr">
        <is>
          <t>99486/1</t>
        </is>
      </c>
      <c r="F26" s="94" t="inlineStr">
        <is>
          <t>Tetus</t>
        </is>
      </c>
      <c r="G26" s="94" t="inlineStr">
        <is>
          <t>T.I</t>
        </is>
      </c>
      <c r="H26" s="95" t="n">
        <v>137.9</v>
      </c>
    </row>
    <row r="27">
      <c r="A27" s="94" t="inlineStr">
        <is>
          <t>Fev/26</t>
        </is>
      </c>
      <c r="B27" s="94" t="inlineStr">
        <is>
          <t>06/02/2026</t>
        </is>
      </c>
      <c r="C27" s="94" t="inlineStr">
        <is>
          <t>VINICIUS DI FRANCO HEITOR</t>
        </is>
      </c>
      <c r="D27" s="94" t="inlineStr">
        <is>
          <t>SAL.SAL JANEIRO 2026</t>
        </is>
      </c>
      <c r="E27" s="94" t="inlineStr">
        <is>
          <t>98811/1</t>
        </is>
      </c>
      <c r="F27" s="94" t="inlineStr">
        <is>
          <t>Tetus</t>
        </is>
      </c>
      <c r="G27" s="94" t="inlineStr">
        <is>
          <t>T.I</t>
        </is>
      </c>
      <c r="H27" s="95" t="n">
        <v>1750</v>
      </c>
    </row>
    <row r="28">
      <c r="A28" s="94" t="inlineStr">
        <is>
          <t>Fev/26</t>
        </is>
      </c>
      <c r="B28" s="94" t="inlineStr">
        <is>
          <t>20/02/2026</t>
        </is>
      </c>
      <c r="C28" s="94" t="inlineStr">
        <is>
          <t>VINICIUS DI FRANCO HEITOR</t>
        </is>
      </c>
      <c r="D28" s="94" t="inlineStr">
        <is>
          <t>SAL.VALE FEVEREIRO 26</t>
        </is>
      </c>
      <c r="E28" s="94" t="inlineStr">
        <is>
          <t>99890/1</t>
        </is>
      </c>
      <c r="F28" s="94" t="inlineStr">
        <is>
          <t>Tetus</t>
        </is>
      </c>
      <c r="G28" s="94" t="inlineStr">
        <is>
          <t>T.I</t>
        </is>
      </c>
      <c r="H28" s="95" t="n">
        <v>1029</v>
      </c>
    </row>
    <row r="29">
      <c r="A29" s="94" t="inlineStr">
        <is>
          <t>Fev/26</t>
        </is>
      </c>
      <c r="B29" s="94" t="inlineStr">
        <is>
          <t>2026-02-20 00:00:00</t>
        </is>
      </c>
      <c r="C29" s="94" t="inlineStr">
        <is>
          <t>VINICIUS DI FRANCO HEITOR</t>
        </is>
      </c>
      <c r="D29" s="94" t="inlineStr">
        <is>
          <t>FGTS/INSS</t>
        </is>
      </c>
      <c r="E29" s="94" t="inlineStr">
        <is>
          <t>113754/2</t>
        </is>
      </c>
      <c r="F29" s="94" t="inlineStr">
        <is>
          <t>Tetus</t>
        </is>
      </c>
      <c r="G29" s="94" t="inlineStr">
        <is>
          <t>T.I</t>
        </is>
      </c>
      <c r="H29" s="95" t="n">
        <v>207.04</v>
      </c>
    </row>
    <row r="30">
      <c r="A30" s="94" t="inlineStr">
        <is>
          <t>Fev/26</t>
        </is>
      </c>
      <c r="B30" s="94" t="inlineStr">
        <is>
          <t>2026-02-01 00:00:00</t>
        </is>
      </c>
      <c r="C30" s="94" t="inlineStr">
        <is>
          <t>Vale Alimentação Vinicius</t>
        </is>
      </c>
      <c r="D30" s="94" t="inlineStr"/>
      <c r="E30" s="94" t="inlineStr"/>
      <c r="F30" s="94" t="inlineStr">
        <is>
          <t>Tetus</t>
        </is>
      </c>
      <c r="G30" s="94" t="inlineStr">
        <is>
          <t>T.I</t>
        </is>
      </c>
      <c r="H30" s="95" t="n">
        <v>485</v>
      </c>
    </row>
    <row r="31">
      <c r="A31" s="94" t="inlineStr">
        <is>
          <t>Fev/26</t>
        </is>
      </c>
      <c r="B31" s="94" t="inlineStr">
        <is>
          <t>27/02/2026</t>
        </is>
      </c>
      <c r="C31" s="94" t="inlineStr">
        <is>
          <t>WEB MOBILE TELECOM LTDA</t>
        </is>
      </c>
      <c r="D31" s="94" t="inlineStr">
        <is>
          <t>NFS.1430</t>
        </is>
      </c>
      <c r="E31" s="94" t="inlineStr">
        <is>
          <t>99956/1</t>
        </is>
      </c>
      <c r="F31" s="94" t="inlineStr">
        <is>
          <t>Tetus</t>
        </is>
      </c>
      <c r="G31" s="94" t="inlineStr">
        <is>
          <t>T.I</t>
        </is>
      </c>
      <c r="H31" s="95" t="n">
        <v>75</v>
      </c>
    </row>
    <row r="32">
      <c r="A32" s="94" t="inlineStr">
        <is>
          <t>Mar/26</t>
        </is>
      </c>
      <c r="B32" s="94" t="inlineStr">
        <is>
          <t>05/03/2026</t>
        </is>
      </c>
      <c r="C32" s="94" t="inlineStr">
        <is>
          <t>CLARO S.A.</t>
        </is>
      </c>
      <c r="D32" s="94" t="inlineStr">
        <is>
          <t>FAT.5042829</t>
        </is>
      </c>
      <c r="E32" s="94" t="inlineStr">
        <is>
          <t>100503/1</t>
        </is>
      </c>
      <c r="F32" s="94" t="inlineStr">
        <is>
          <t>Tetus</t>
        </is>
      </c>
      <c r="G32" s="94" t="inlineStr">
        <is>
          <t>T.I</t>
        </is>
      </c>
      <c r="H32" s="95" t="n">
        <v>87.69</v>
      </c>
    </row>
    <row r="33">
      <c r="A33" s="94" t="inlineStr">
        <is>
          <t>Mar/26</t>
        </is>
      </c>
      <c r="B33" s="94" t="inlineStr">
        <is>
          <t>05/03/2026</t>
        </is>
      </c>
      <c r="C33" s="94" t="inlineStr">
        <is>
          <t>CLARO S.A.</t>
        </is>
      </c>
      <c r="D33" s="94" t="inlineStr">
        <is>
          <t>FAT.5042827</t>
        </is>
      </c>
      <c r="E33" s="94" t="inlineStr">
        <is>
          <t>100504/1</t>
        </is>
      </c>
      <c r="F33" s="94" t="inlineStr">
        <is>
          <t>Tetus</t>
        </is>
      </c>
      <c r="G33" s="94" t="inlineStr">
        <is>
          <t>T.I</t>
        </is>
      </c>
      <c r="H33" s="95" t="n">
        <v>382.4</v>
      </c>
    </row>
    <row r="34">
      <c r="A34" s="94" t="inlineStr">
        <is>
          <t>Mar/26</t>
        </is>
      </c>
      <c r="B34" s="94" t="inlineStr">
        <is>
          <t>28/03/2026</t>
        </is>
      </c>
      <c r="C34" s="94" t="inlineStr">
        <is>
          <t>CLARO S.A.</t>
        </is>
      </c>
      <c r="D34" s="94" t="inlineStr">
        <is>
          <t>FAT.8910508</t>
        </is>
      </c>
      <c r="E34" s="94" t="inlineStr">
        <is>
          <t>102706/1</t>
        </is>
      </c>
      <c r="F34" s="94" t="inlineStr">
        <is>
          <t>Tetus</t>
        </is>
      </c>
      <c r="G34" s="94" t="inlineStr">
        <is>
          <t>T.I</t>
        </is>
      </c>
      <c r="H34" s="95" t="n">
        <v>429.49</v>
      </c>
    </row>
    <row r="35">
      <c r="A35" s="94" t="inlineStr">
        <is>
          <t>Mar/26</t>
        </is>
      </c>
      <c r="B35" s="94" t="inlineStr">
        <is>
          <t>02/03/2026</t>
        </is>
      </c>
      <c r="C35" s="94" t="inlineStr">
        <is>
          <t>INTELBRAS S.A. INDUSTRIA DE TELECOMUNICACAO ELETRONICA BRASILEIRA</t>
        </is>
      </c>
      <c r="D35" s="94" t="inlineStr">
        <is>
          <t>NFS.351653</t>
        </is>
      </c>
      <c r="E35" s="94" t="inlineStr">
        <is>
          <t>100083/1</t>
        </is>
      </c>
      <c r="F35" s="94" t="inlineStr">
        <is>
          <t>Tetus</t>
        </is>
      </c>
      <c r="G35" s="94" t="inlineStr">
        <is>
          <t>T.I</t>
        </is>
      </c>
      <c r="H35" s="95" t="n">
        <v>79.59999999999999</v>
      </c>
    </row>
    <row r="36">
      <c r="A36" s="94" t="inlineStr">
        <is>
          <t>Mar/26</t>
        </is>
      </c>
      <c r="B36" s="94" t="inlineStr">
        <is>
          <t>30/03/2026</t>
        </is>
      </c>
      <c r="C36" s="94" t="inlineStr">
        <is>
          <t>INTELBRAS S.A. INDUSTRIA DE TELECOMUNICACAO ELETRONICA BRASILEIRA</t>
        </is>
      </c>
      <c r="D36" s="94" t="inlineStr">
        <is>
          <t>NFS.359396</t>
        </is>
      </c>
      <c r="E36" s="94" t="inlineStr">
        <is>
          <t>102608/1</t>
        </is>
      </c>
      <c r="F36" s="94" t="inlineStr">
        <is>
          <t>Tetus</t>
        </is>
      </c>
      <c r="G36" s="94" t="inlineStr">
        <is>
          <t>T.I</t>
        </is>
      </c>
      <c r="H36" s="95" t="n">
        <v>79.59999999999999</v>
      </c>
    </row>
    <row r="37">
      <c r="A37" s="94" t="inlineStr">
        <is>
          <t>Mar/26</t>
        </is>
      </c>
      <c r="B37" s="94" t="inlineStr">
        <is>
          <t>01/03/2026</t>
        </is>
      </c>
      <c r="C37" s="94" t="inlineStr">
        <is>
          <t>OPENAI BRAZIL LIMITADA</t>
        </is>
      </c>
      <c r="D37" s="94" t="inlineStr">
        <is>
          <t>AV.CHATGPT JUR 2026</t>
        </is>
      </c>
      <c r="E37" s="94" t="inlineStr">
        <is>
          <t>95104/3</t>
        </is>
      </c>
      <c r="F37" s="94" t="inlineStr">
        <is>
          <t>Tetus</t>
        </is>
      </c>
      <c r="G37" s="94" t="inlineStr">
        <is>
          <t>T.I</t>
        </is>
      </c>
      <c r="H37" s="95" t="n">
        <v>111.38</v>
      </c>
    </row>
    <row r="38">
      <c r="A38" s="94" t="inlineStr">
        <is>
          <t>Mar/26</t>
        </is>
      </c>
      <c r="B38" s="94" t="inlineStr">
        <is>
          <t>31/03/2026</t>
        </is>
      </c>
      <c r="C38" s="94" t="inlineStr">
        <is>
          <t>OPENAI BRAZIL LIMITADA</t>
        </is>
      </c>
      <c r="D38" s="94" t="inlineStr">
        <is>
          <t>AV.CHATGPT JUR 2026</t>
        </is>
      </c>
      <c r="E38" s="94" t="inlineStr">
        <is>
          <t>95104/4</t>
        </is>
      </c>
      <c r="F38" s="94" t="inlineStr">
        <is>
          <t>Tetus</t>
        </is>
      </c>
      <c r="G38" s="94" t="inlineStr">
        <is>
          <t>T.I</t>
        </is>
      </c>
      <c r="H38" s="95" t="n">
        <v>210.38</v>
      </c>
    </row>
    <row r="39">
      <c r="A39" s="94" t="inlineStr">
        <is>
          <t>Mar/26</t>
        </is>
      </c>
      <c r="B39" s="94" t="inlineStr">
        <is>
          <t>24/03/2026</t>
        </is>
      </c>
      <c r="C39" s="94" t="inlineStr">
        <is>
          <t>TELEFONICA BRASIL S.A.</t>
        </is>
      </c>
      <c r="D39" s="94" t="inlineStr">
        <is>
          <t>FAT.2024588614</t>
        </is>
      </c>
      <c r="E39" s="94" t="inlineStr">
        <is>
          <t>102316/1</t>
        </is>
      </c>
      <c r="F39" s="94" t="inlineStr">
        <is>
          <t>Tetus</t>
        </is>
      </c>
      <c r="G39" s="94" t="inlineStr">
        <is>
          <t>T.I</t>
        </is>
      </c>
      <c r="H39" s="95" t="n">
        <v>50</v>
      </c>
    </row>
    <row r="40">
      <c r="A40" s="94" t="inlineStr">
        <is>
          <t>Mar/26</t>
        </is>
      </c>
      <c r="B40" s="94" t="inlineStr">
        <is>
          <t>20/03/2026</t>
        </is>
      </c>
      <c r="C40" s="94" t="inlineStr">
        <is>
          <t>TIM S A</t>
        </is>
      </c>
      <c r="D40" s="94" t="inlineStr">
        <is>
          <t>BOL.5708173302</t>
        </is>
      </c>
      <c r="E40" s="94" t="inlineStr">
        <is>
          <t>102057/1</t>
        </is>
      </c>
      <c r="F40" s="94" t="inlineStr">
        <is>
          <t>Tetus</t>
        </is>
      </c>
      <c r="G40" s="94" t="inlineStr">
        <is>
          <t>T.I</t>
        </is>
      </c>
      <c r="H40" s="95" t="n">
        <v>284.63</v>
      </c>
    </row>
    <row r="41">
      <c r="A41" s="94" t="inlineStr">
        <is>
          <t>Mar/26</t>
        </is>
      </c>
      <c r="B41" s="94" t="inlineStr">
        <is>
          <t>15/03/2026</t>
        </is>
      </c>
      <c r="C41" s="94" t="inlineStr">
        <is>
          <t>VC1 SOLUCOES EM TECNOLOGIA EIRELI</t>
        </is>
      </c>
      <c r="D41" s="94" t="inlineStr">
        <is>
          <t>BOL.28049</t>
        </is>
      </c>
      <c r="E41" s="94" t="inlineStr">
        <is>
          <t>100887/1</t>
        </is>
      </c>
      <c r="F41" s="94" t="inlineStr">
        <is>
          <t>Tetus</t>
        </is>
      </c>
      <c r="G41" s="94" t="inlineStr">
        <is>
          <t>T.I</t>
        </is>
      </c>
      <c r="H41" s="95" t="n">
        <v>137.9</v>
      </c>
    </row>
    <row r="42">
      <c r="A42" s="94" t="inlineStr">
        <is>
          <t>Mar/26</t>
        </is>
      </c>
      <c r="B42" s="94" t="inlineStr">
        <is>
          <t>06/03/2026</t>
        </is>
      </c>
      <c r="C42" s="94" t="inlineStr">
        <is>
          <t>VINICIUS DI FRANCO HEITOR</t>
        </is>
      </c>
      <c r="D42" s="94" t="inlineStr">
        <is>
          <t>SAL.SAL FEVEREIRO 26</t>
        </is>
      </c>
      <c r="E42" s="94" t="inlineStr">
        <is>
          <t>101276/1</t>
        </is>
      </c>
      <c r="F42" s="94" t="inlineStr">
        <is>
          <t>Tetus</t>
        </is>
      </c>
      <c r="G42" s="94" t="inlineStr">
        <is>
          <t>T.I</t>
        </is>
      </c>
      <c r="H42" s="95" t="n">
        <v>1542</v>
      </c>
    </row>
    <row r="43">
      <c r="A43" s="94" t="inlineStr">
        <is>
          <t>Mar/26</t>
        </is>
      </c>
      <c r="B43" s="94" t="inlineStr">
        <is>
          <t>20/03/2026</t>
        </is>
      </c>
      <c r="C43" s="94" t="inlineStr">
        <is>
          <t>VINICIUS DI FRANCO HEITOR</t>
        </is>
      </c>
      <c r="D43" s="94" t="inlineStr">
        <is>
          <t>SAL.VALE 032026</t>
        </is>
      </c>
      <c r="E43" s="94" t="inlineStr">
        <is>
          <t>102295/1</t>
        </is>
      </c>
      <c r="F43" s="94" t="inlineStr">
        <is>
          <t>Tetus</t>
        </is>
      </c>
      <c r="G43" s="94" t="inlineStr">
        <is>
          <t>T.I</t>
        </is>
      </c>
      <c r="H43" s="95" t="n">
        <v>1029</v>
      </c>
    </row>
    <row r="44">
      <c r="A44" s="94" t="inlineStr">
        <is>
          <t>Mar/26</t>
        </is>
      </c>
      <c r="B44" s="94" t="inlineStr">
        <is>
          <t>2026-03-20 00:00:00</t>
        </is>
      </c>
      <c r="C44" s="94" t="inlineStr">
        <is>
          <t>VINICIUS DI FRANCO HEITOR</t>
        </is>
      </c>
      <c r="D44" s="94" t="inlineStr">
        <is>
          <t>FGTS/INSS</t>
        </is>
      </c>
      <c r="E44" s="94" t="inlineStr">
        <is>
          <t>113754/3</t>
        </is>
      </c>
      <c r="F44" s="94" t="inlineStr">
        <is>
          <t>Tetus</t>
        </is>
      </c>
      <c r="G44" s="94" t="inlineStr">
        <is>
          <t>T.I</t>
        </is>
      </c>
      <c r="H44" s="95" t="n">
        <v>207.04</v>
      </c>
    </row>
    <row r="45">
      <c r="A45" s="94" t="inlineStr">
        <is>
          <t>Mar/26</t>
        </is>
      </c>
      <c r="B45" s="94" t="inlineStr">
        <is>
          <t>2026-03-01 00:00:00</t>
        </is>
      </c>
      <c r="C45" s="94" t="inlineStr">
        <is>
          <t>Vale Alimentação Vinicius</t>
        </is>
      </c>
      <c r="D45" s="94" t="inlineStr"/>
      <c r="E45" s="94" t="inlineStr"/>
      <c r="F45" s="94" t="inlineStr">
        <is>
          <t>Tetus</t>
        </is>
      </c>
      <c r="G45" s="94" t="inlineStr">
        <is>
          <t>T.I</t>
        </is>
      </c>
      <c r="H45" s="95" t="n">
        <v>485</v>
      </c>
    </row>
    <row r="46">
      <c r="A46" s="94" t="inlineStr">
        <is>
          <t>Mar/26</t>
        </is>
      </c>
      <c r="B46" s="94" t="inlineStr">
        <is>
          <t>25/03/2026</t>
        </is>
      </c>
      <c r="C46" s="94" t="inlineStr">
        <is>
          <t>WEB MOBILE TELECOM LTDA</t>
        </is>
      </c>
      <c r="D46" s="94" t="inlineStr">
        <is>
          <t>NFS.1500</t>
        </is>
      </c>
      <c r="E46" s="94" t="inlineStr">
        <is>
          <t>102432/1</t>
        </is>
      </c>
      <c r="F46" s="94" t="inlineStr">
        <is>
          <t>Tetus</t>
        </is>
      </c>
      <c r="G46" s="94" t="inlineStr">
        <is>
          <t>T.I</t>
        </is>
      </c>
      <c r="H46" s="95" t="n">
        <v>75</v>
      </c>
    </row>
    <row r="47">
      <c r="A47" s="94" t="inlineStr">
        <is>
          <t>Mar/26</t>
        </is>
      </c>
      <c r="B47" s="94" t="inlineStr">
        <is>
          <t>25/03/2026</t>
        </is>
      </c>
      <c r="C47" s="94" t="inlineStr">
        <is>
          <t>WEB MOBILE TELECOM LTDA</t>
        </is>
      </c>
      <c r="D47" s="94" t="inlineStr">
        <is>
          <t>NFS.1534</t>
        </is>
      </c>
      <c r="E47" s="94" t="inlineStr">
        <is>
          <t>102434/1</t>
        </is>
      </c>
      <c r="F47" s="94" t="inlineStr">
        <is>
          <t>Tetus</t>
        </is>
      </c>
      <c r="G47" s="94" t="inlineStr">
        <is>
          <t>T.I</t>
        </is>
      </c>
      <c r="H47" s="95" t="n">
        <v>150</v>
      </c>
    </row>
    <row r="48">
      <c r="A48" s="94" t="inlineStr">
        <is>
          <t>Abr/26</t>
        </is>
      </c>
      <c r="B48" s="94" t="inlineStr">
        <is>
          <t>29/04/2026</t>
        </is>
      </c>
      <c r="C48" s="94" t="inlineStr">
        <is>
          <t>CLARO S.A.</t>
        </is>
      </c>
      <c r="D48" s="94" t="inlineStr">
        <is>
          <t>FAT.8910315</t>
        </is>
      </c>
      <c r="E48" s="94" t="inlineStr">
        <is>
          <t>105607/1</t>
        </is>
      </c>
      <c r="F48" s="94" t="inlineStr">
        <is>
          <t>Tetus</t>
        </is>
      </c>
      <c r="G48" s="94" t="inlineStr">
        <is>
          <t>T.I</t>
        </is>
      </c>
      <c r="H48" s="95" t="n">
        <v>11.99</v>
      </c>
    </row>
    <row r="49">
      <c r="A49" s="94" t="inlineStr">
        <is>
          <t>Abr/26</t>
        </is>
      </c>
      <c r="B49" s="94" t="inlineStr">
        <is>
          <t>29/04/2026</t>
        </is>
      </c>
      <c r="C49" s="94" t="inlineStr">
        <is>
          <t>CLARO S.A.</t>
        </is>
      </c>
      <c r="D49" s="94" t="inlineStr">
        <is>
          <t>FAT.13443658</t>
        </is>
      </c>
      <c r="E49" s="94" t="inlineStr">
        <is>
          <t>105676/1</t>
        </is>
      </c>
      <c r="F49" s="94" t="inlineStr">
        <is>
          <t>Tetus</t>
        </is>
      </c>
      <c r="G49" s="94" t="inlineStr">
        <is>
          <t>T.I</t>
        </is>
      </c>
      <c r="H49" s="95" t="n">
        <v>557.63</v>
      </c>
    </row>
    <row r="50">
      <c r="A50" s="94" t="inlineStr">
        <is>
          <t>Abr/26</t>
        </is>
      </c>
      <c r="B50" s="94" t="inlineStr">
        <is>
          <t>29/04/2026</t>
        </is>
      </c>
      <c r="C50" s="94" t="inlineStr">
        <is>
          <t>CLARO S.A.</t>
        </is>
      </c>
      <c r="D50" s="94" t="inlineStr">
        <is>
          <t>FAT.13443664</t>
        </is>
      </c>
      <c r="E50" s="94" t="inlineStr">
        <is>
          <t>105677/1</t>
        </is>
      </c>
      <c r="F50" s="94" t="inlineStr">
        <is>
          <t>Tetus</t>
        </is>
      </c>
      <c r="G50" s="94" t="inlineStr">
        <is>
          <t>T.I</t>
        </is>
      </c>
      <c r="H50" s="95" t="n">
        <v>132.09</v>
      </c>
    </row>
    <row r="51">
      <c r="A51" s="94" t="inlineStr">
        <is>
          <t>Abr/26</t>
        </is>
      </c>
      <c r="B51" s="94" t="inlineStr">
        <is>
          <t>30/04/2026</t>
        </is>
      </c>
      <c r="C51" s="94" t="inlineStr">
        <is>
          <t>CLARO S.A.</t>
        </is>
      </c>
      <c r="D51" s="94" t="inlineStr">
        <is>
          <t>FAT.13443112</t>
        </is>
      </c>
      <c r="E51" s="94" t="inlineStr">
        <is>
          <t>105792/1</t>
        </is>
      </c>
      <c r="F51" s="94" t="inlineStr">
        <is>
          <t>Tetus</t>
        </is>
      </c>
      <c r="G51" s="94" t="inlineStr">
        <is>
          <t>T.I</t>
        </is>
      </c>
      <c r="H51" s="95" t="n">
        <v>20.23</v>
      </c>
    </row>
    <row r="52">
      <c r="A52" s="94" t="inlineStr">
        <is>
          <t>Abr/26</t>
        </is>
      </c>
      <c r="B52" s="94" t="inlineStr">
        <is>
          <t>30/04/2026</t>
        </is>
      </c>
      <c r="C52" s="94" t="inlineStr">
        <is>
          <t>INTELBRAS S.A. INDUSTRIA DE TELECOMUNICACAO ELETRONICA BRASILEIRA</t>
        </is>
      </c>
      <c r="D52" s="94" t="inlineStr">
        <is>
          <t>NFS.363799</t>
        </is>
      </c>
      <c r="E52" s="94" t="inlineStr">
        <is>
          <t>104634/1</t>
        </is>
      </c>
      <c r="F52" s="94" t="inlineStr">
        <is>
          <t>Tetus</t>
        </is>
      </c>
      <c r="G52" s="94" t="inlineStr">
        <is>
          <t>T.I</t>
        </is>
      </c>
      <c r="H52" s="95" t="n">
        <v>79.59999999999999</v>
      </c>
    </row>
    <row r="53">
      <c r="A53" s="94" t="inlineStr">
        <is>
          <t>Abr/26</t>
        </is>
      </c>
      <c r="B53" s="94" t="inlineStr">
        <is>
          <t>25/04/2026</t>
        </is>
      </c>
      <c r="C53" s="94" t="inlineStr">
        <is>
          <t>LOCAWEB SERVICOS DE INTERNET S/A</t>
        </is>
      </c>
      <c r="D53" s="94" t="inlineStr">
        <is>
          <t>BOL.04.26</t>
        </is>
      </c>
      <c r="E53" s="94" t="inlineStr">
        <is>
          <t>104820/1</t>
        </is>
      </c>
      <c r="F53" s="94" t="inlineStr">
        <is>
          <t>Tetus</t>
        </is>
      </c>
      <c r="G53" s="94" t="inlineStr">
        <is>
          <t>T.I</t>
        </is>
      </c>
      <c r="H53" s="95" t="n">
        <v>1024.76</v>
      </c>
    </row>
    <row r="54">
      <c r="A54" s="94" t="inlineStr">
        <is>
          <t>Abr/26</t>
        </is>
      </c>
      <c r="B54" s="94" t="inlineStr">
        <is>
          <t>30/04/2026</t>
        </is>
      </c>
      <c r="C54" s="94" t="inlineStr">
        <is>
          <t>LOCAWEB SERVICOS DE INTERNET S/A</t>
        </is>
      </c>
      <c r="D54" s="94" t="inlineStr">
        <is>
          <t>BOL.LOCAWEB 29.04.26</t>
        </is>
      </c>
      <c r="E54" s="94" t="inlineStr">
        <is>
          <t>106325/1</t>
        </is>
      </c>
      <c r="F54" s="94" t="inlineStr">
        <is>
          <t>Tetus</t>
        </is>
      </c>
      <c r="G54" s="94" t="inlineStr">
        <is>
          <t>T.I</t>
        </is>
      </c>
      <c r="H54" s="95" t="n">
        <v>21.76</v>
      </c>
    </row>
    <row r="55">
      <c r="A55" s="94" t="inlineStr">
        <is>
          <t>Abr/26</t>
        </is>
      </c>
      <c r="B55" s="94" t="inlineStr">
        <is>
          <t>15/04/2026</t>
        </is>
      </c>
      <c r="C55" s="94" t="inlineStr">
        <is>
          <t>OPENAI BRAZIL LIMITADA</t>
        </is>
      </c>
      <c r="D55" s="94" t="inlineStr">
        <is>
          <t>FAT.CHATGPT 3 LIC</t>
        </is>
      </c>
      <c r="E55" s="94" t="inlineStr">
        <is>
          <t>102137/1</t>
        </is>
      </c>
      <c r="F55" s="94" t="inlineStr">
        <is>
          <t>Tetus</t>
        </is>
      </c>
      <c r="G55" s="94" t="inlineStr">
        <is>
          <t>T.I</t>
        </is>
      </c>
      <c r="H55" s="95" t="n">
        <v>5393.88</v>
      </c>
    </row>
    <row r="56">
      <c r="A56" s="94" t="inlineStr">
        <is>
          <t>Abr/26</t>
        </is>
      </c>
      <c r="B56" s="94" t="inlineStr">
        <is>
          <t>15/04/2026</t>
        </is>
      </c>
      <c r="C56" s="94" t="inlineStr">
        <is>
          <t>VC1 SOLUCOES EM TECNOLOGIA EIRELI</t>
        </is>
      </c>
      <c r="D56" s="94" t="inlineStr">
        <is>
          <t>BOL.28855</t>
        </is>
      </c>
      <c r="E56" s="94" t="inlineStr">
        <is>
          <t>103694/1</t>
        </is>
      </c>
      <c r="F56" s="94" t="inlineStr">
        <is>
          <t>Tetus</t>
        </is>
      </c>
      <c r="G56" s="94" t="inlineStr">
        <is>
          <t>T.I</t>
        </is>
      </c>
      <c r="H56" s="95" t="n">
        <v>137.9</v>
      </c>
    </row>
    <row r="57">
      <c r="A57" s="94" t="inlineStr">
        <is>
          <t>Abr/26</t>
        </is>
      </c>
      <c r="B57" s="94" t="inlineStr">
        <is>
          <t>07/04/2026</t>
        </is>
      </c>
      <c r="C57" s="94" t="inlineStr">
        <is>
          <t>VINICIUS DI FRANCO HEITOR</t>
        </is>
      </c>
      <c r="D57" s="94" t="inlineStr">
        <is>
          <t>SAL.SAL 032026</t>
        </is>
      </c>
      <c r="E57" s="94" t="inlineStr">
        <is>
          <t>103924/1</t>
        </is>
      </c>
      <c r="F57" s="94" t="inlineStr">
        <is>
          <t>Tetus</t>
        </is>
      </c>
      <c r="G57" s="94" t="inlineStr">
        <is>
          <t>T.I</t>
        </is>
      </c>
      <c r="H57" s="95" t="n">
        <v>1515</v>
      </c>
    </row>
    <row r="58">
      <c r="A58" s="94" t="inlineStr">
        <is>
          <t>Abr/26</t>
        </is>
      </c>
      <c r="B58" s="94" t="inlineStr">
        <is>
          <t>20/04/2026</t>
        </is>
      </c>
      <c r="C58" s="94" t="inlineStr">
        <is>
          <t>VINICIUS DI FRANCO HEITOR</t>
        </is>
      </c>
      <c r="D58" s="94" t="inlineStr">
        <is>
          <t>SAL.vale 042026</t>
        </is>
      </c>
      <c r="E58" s="94" t="inlineStr">
        <is>
          <t>105055/1</t>
        </is>
      </c>
      <c r="F58" s="94" t="inlineStr">
        <is>
          <t>Tetus</t>
        </is>
      </c>
      <c r="G58" s="94" t="inlineStr">
        <is>
          <t>T.I</t>
        </is>
      </c>
      <c r="H58" s="95" t="n">
        <v>1029</v>
      </c>
    </row>
    <row r="59">
      <c r="A59" s="94" t="inlineStr">
        <is>
          <t>Abr/26</t>
        </is>
      </c>
      <c r="B59" s="94" t="inlineStr">
        <is>
          <t>2026-04-20 00:00:00</t>
        </is>
      </c>
      <c r="C59" s="94" t="inlineStr">
        <is>
          <t>VINICIUS DI FRANCO HEITOR</t>
        </is>
      </c>
      <c r="D59" s="94" t="inlineStr">
        <is>
          <t>FGTS/INSS</t>
        </is>
      </c>
      <c r="E59" s="94" t="inlineStr">
        <is>
          <t>113754/4</t>
        </is>
      </c>
      <c r="F59" s="94" t="inlineStr">
        <is>
          <t>Tetus</t>
        </is>
      </c>
      <c r="G59" s="94" t="inlineStr">
        <is>
          <t>T.I</t>
        </is>
      </c>
      <c r="H59" s="95" t="n">
        <v>207.04</v>
      </c>
    </row>
    <row r="60">
      <c r="A60" s="94" t="inlineStr">
        <is>
          <t>Abr/26</t>
        </is>
      </c>
      <c r="B60" s="94" t="inlineStr">
        <is>
          <t>2026-04-01 00:00:00</t>
        </is>
      </c>
      <c r="C60" s="94" t="inlineStr">
        <is>
          <t>Vale Alimentação Vinicius</t>
        </is>
      </c>
      <c r="D60" s="94" t="inlineStr"/>
      <c r="E60" s="94" t="inlineStr"/>
      <c r="F60" s="94" t="inlineStr">
        <is>
          <t>Tetus</t>
        </is>
      </c>
      <c r="G60" s="94" t="inlineStr">
        <is>
          <t>T.I</t>
        </is>
      </c>
      <c r="H60" s="95" t="n">
        <v>485</v>
      </c>
    </row>
    <row r="61">
      <c r="A61" s="94" t="inlineStr">
        <is>
          <t>Abr/26</t>
        </is>
      </c>
      <c r="B61" s="94" t="inlineStr">
        <is>
          <t>27/04/2026</t>
        </is>
      </c>
      <c r="C61" s="94" t="inlineStr">
        <is>
          <t>WEB MOBILE TELECOM LTDA</t>
        </is>
      </c>
      <c r="D61" s="94" t="inlineStr">
        <is>
          <t>NFS.1573</t>
        </is>
      </c>
      <c r="E61" s="94" t="inlineStr">
        <is>
          <t>105411/1</t>
        </is>
      </c>
      <c r="F61" s="94" t="inlineStr">
        <is>
          <t>Tetus</t>
        </is>
      </c>
      <c r="G61" s="94" t="inlineStr">
        <is>
          <t>T.I</t>
        </is>
      </c>
      <c r="H61" s="95" t="n">
        <v>75</v>
      </c>
    </row>
    <row r="62">
      <c r="A62" s="94" t="inlineStr">
        <is>
          <t>Mai/26</t>
        </is>
      </c>
      <c r="B62" s="94" t="inlineStr">
        <is>
          <t>18/05/2026</t>
        </is>
      </c>
      <c r="C62" s="94" t="inlineStr">
        <is>
          <t>CLARO S.A.</t>
        </is>
      </c>
      <c r="D62" s="94" t="inlineStr">
        <is>
          <t>FAT.2ªvia Claro Abril</t>
        </is>
      </c>
      <c r="E62" s="94" t="inlineStr">
        <is>
          <t>107340/1</t>
        </is>
      </c>
      <c r="F62" s="94" t="inlineStr">
        <is>
          <t>Tetus</t>
        </is>
      </c>
      <c r="G62" s="94" t="inlineStr">
        <is>
          <t>T.I</t>
        </is>
      </c>
      <c r="H62" s="95" t="n">
        <v>182.32</v>
      </c>
    </row>
    <row r="63">
      <c r="A63" s="94" t="inlineStr">
        <is>
          <t>Mai/26</t>
        </is>
      </c>
      <c r="B63" s="94" t="inlineStr">
        <is>
          <t>28/05/2026</t>
        </is>
      </c>
      <c r="C63" s="94" t="inlineStr">
        <is>
          <t>CLARO S.A.</t>
        </is>
      </c>
      <c r="D63" s="94" t="inlineStr">
        <is>
          <t>FAT.17483469</t>
        </is>
      </c>
      <c r="E63" s="94" t="inlineStr">
        <is>
          <t>108218/1</t>
        </is>
      </c>
      <c r="F63" s="94" t="inlineStr">
        <is>
          <t>Tetus</t>
        </is>
      </c>
      <c r="G63" s="94" t="inlineStr">
        <is>
          <t>T.I</t>
        </is>
      </c>
      <c r="H63" s="95" t="n">
        <v>629.98</v>
      </c>
    </row>
    <row r="64">
      <c r="A64" s="94" t="inlineStr">
        <is>
          <t>Mai/26</t>
        </is>
      </c>
      <c r="B64" s="94" t="inlineStr">
        <is>
          <t>28/05/2026</t>
        </is>
      </c>
      <c r="C64" s="94" t="inlineStr">
        <is>
          <t>CLARO S.A.</t>
        </is>
      </c>
      <c r="D64" s="94" t="inlineStr">
        <is>
          <t>FAT.17483469</t>
        </is>
      </c>
      <c r="E64" s="94" t="inlineStr">
        <is>
          <t>108218/2</t>
        </is>
      </c>
      <c r="F64" s="94" t="inlineStr">
        <is>
          <t>Tetus</t>
        </is>
      </c>
      <c r="G64" s="94" t="inlineStr">
        <is>
          <t>T.I</t>
        </is>
      </c>
      <c r="H64" s="95" t="n">
        <v>18.86</v>
      </c>
    </row>
    <row r="65">
      <c r="A65" s="94" t="inlineStr">
        <is>
          <t>Mai/26</t>
        </is>
      </c>
      <c r="B65" s="94" t="inlineStr">
        <is>
          <t>28/05/2026</t>
        </is>
      </c>
      <c r="C65" s="94" t="inlineStr">
        <is>
          <t>CLARO S.A.</t>
        </is>
      </c>
      <c r="D65" s="94" t="inlineStr">
        <is>
          <t>FAT.17483469</t>
        </is>
      </c>
      <c r="E65" s="94" t="inlineStr">
        <is>
          <t>108218/3</t>
        </is>
      </c>
      <c r="F65" s="94" t="inlineStr">
        <is>
          <t>Tetus</t>
        </is>
      </c>
      <c r="G65" s="94" t="inlineStr">
        <is>
          <t>T.I</t>
        </is>
      </c>
      <c r="H65" s="95" t="n">
        <v>133.95</v>
      </c>
    </row>
    <row r="66">
      <c r="A66" s="94" t="inlineStr">
        <is>
          <t>Mai/26</t>
        </is>
      </c>
      <c r="B66" s="94" t="inlineStr">
        <is>
          <t>01/05/2026</t>
        </is>
      </c>
      <c r="C66" s="94" t="inlineStr">
        <is>
          <t>J H ALVES - MONITOR REMOTO</t>
        </is>
      </c>
      <c r="D66" s="94" t="inlineStr">
        <is>
          <t>NFS.76</t>
        </is>
      </c>
      <c r="E66" s="94" t="inlineStr">
        <is>
          <t>105987/1</t>
        </is>
      </c>
      <c r="F66" s="94" t="inlineStr">
        <is>
          <t>Tetus</t>
        </is>
      </c>
      <c r="G66" s="94" t="inlineStr">
        <is>
          <t>T.I</t>
        </is>
      </c>
      <c r="H66" s="95" t="n">
        <v>3723.62</v>
      </c>
    </row>
    <row r="67">
      <c r="A67" s="94" t="inlineStr">
        <is>
          <t>Mai/26</t>
        </is>
      </c>
      <c r="B67" s="94" t="inlineStr">
        <is>
          <t>11/05/2026</t>
        </is>
      </c>
      <c r="C67" s="94" t="inlineStr">
        <is>
          <t>LOCAWEB SERVICOS DE INTERNET S/A</t>
        </is>
      </c>
      <c r="D67" s="94" t="inlineStr">
        <is>
          <t>BOL.LOCAWEB 11.05.26</t>
        </is>
      </c>
      <c r="E67" s="94" t="inlineStr">
        <is>
          <t>107254/1</t>
        </is>
      </c>
      <c r="F67" s="94" t="inlineStr">
        <is>
          <t>Tetus</t>
        </is>
      </c>
      <c r="G67" s="94" t="inlineStr">
        <is>
          <t>T.I</t>
        </is>
      </c>
      <c r="H67" s="95" t="n">
        <v>74.81</v>
      </c>
    </row>
    <row r="68">
      <c r="A68" s="94" t="inlineStr">
        <is>
          <t>Mai/26</t>
        </is>
      </c>
      <c r="B68" s="94" t="inlineStr">
        <is>
          <t>12/05/2026</t>
        </is>
      </c>
      <c r="C68" s="94" t="inlineStr">
        <is>
          <t>SABHA INTELIGENCIA EM TECNOLOGIA LTDA</t>
        </is>
      </c>
      <c r="D68" s="94" t="inlineStr">
        <is>
          <t>NFS.5744</t>
        </is>
      </c>
      <c r="E68" s="94" t="inlineStr">
        <is>
          <t>106664/1</t>
        </is>
      </c>
      <c r="F68" s="94" t="inlineStr">
        <is>
          <t>Tetus</t>
        </is>
      </c>
      <c r="G68" s="94" t="inlineStr">
        <is>
          <t>T.I</t>
        </is>
      </c>
      <c r="H68" s="95" t="n">
        <v>741.1</v>
      </c>
    </row>
    <row r="69">
      <c r="A69" s="94" t="inlineStr">
        <is>
          <t>Mai/26</t>
        </is>
      </c>
      <c r="B69" s="94" t="inlineStr">
        <is>
          <t>25/05/2026</t>
        </is>
      </c>
      <c r="C69" s="94" t="inlineStr">
        <is>
          <t>VC1 SOLUCOES EM TECNOLOGIA EIRELI</t>
        </is>
      </c>
      <c r="D69" s="94" t="inlineStr">
        <is>
          <t>BOL.29637</t>
        </is>
      </c>
      <c r="E69" s="94" t="inlineStr">
        <is>
          <t>108040/1</t>
        </is>
      </c>
      <c r="F69" s="94" t="inlineStr">
        <is>
          <t>Tetus</t>
        </is>
      </c>
      <c r="G69" s="94" t="inlineStr">
        <is>
          <t>T.I</t>
        </is>
      </c>
      <c r="H69" s="95" t="n">
        <v>137.92</v>
      </c>
    </row>
    <row r="70">
      <c r="A70" s="94" t="inlineStr">
        <is>
          <t>Mai/26</t>
        </is>
      </c>
      <c r="B70" s="94" t="inlineStr">
        <is>
          <t>07/05/2026</t>
        </is>
      </c>
      <c r="C70" s="94" t="inlineStr">
        <is>
          <t>VINICIUS DI FRANCO HEITOR</t>
        </is>
      </c>
      <c r="D70" s="94" t="inlineStr">
        <is>
          <t>SAL.sal 042026</t>
        </is>
      </c>
      <c r="E70" s="94" t="inlineStr">
        <is>
          <t>106947/1</t>
        </is>
      </c>
      <c r="F70" s="94" t="inlineStr">
        <is>
          <t>Tetus</t>
        </is>
      </c>
      <c r="G70" s="94" t="inlineStr">
        <is>
          <t>T.I</t>
        </is>
      </c>
      <c r="H70" s="95" t="n">
        <v>1483</v>
      </c>
    </row>
    <row r="71">
      <c r="A71" s="94" t="inlineStr">
        <is>
          <t>Mai/26</t>
        </is>
      </c>
      <c r="B71" s="94" t="inlineStr">
        <is>
          <t>20/05/2026</t>
        </is>
      </c>
      <c r="C71" s="94" t="inlineStr">
        <is>
          <t>VINICIUS DI FRANCO HEITOR</t>
        </is>
      </c>
      <c r="D71" s="94" t="inlineStr">
        <is>
          <t>SAL.vale 052026</t>
        </is>
      </c>
      <c r="E71" s="94" t="inlineStr">
        <is>
          <t>108156/1</t>
        </is>
      </c>
      <c r="F71" s="94" t="inlineStr">
        <is>
          <t>Tetus</t>
        </is>
      </c>
      <c r="G71" s="94" t="inlineStr">
        <is>
          <t>T.I</t>
        </is>
      </c>
      <c r="H71" s="95" t="n">
        <v>1029</v>
      </c>
    </row>
    <row r="72">
      <c r="A72" s="94" t="inlineStr">
        <is>
          <t>Mai/26</t>
        </is>
      </c>
      <c r="B72" s="94" t="inlineStr">
        <is>
          <t>2026-05-20 00:00:00</t>
        </is>
      </c>
      <c r="C72" s="94" t="inlineStr">
        <is>
          <t>VINICIUS DI FRANCO HEITOR</t>
        </is>
      </c>
      <c r="D72" s="94" t="inlineStr">
        <is>
          <t>FGTS/INSS</t>
        </is>
      </c>
      <c r="E72" s="94" t="inlineStr">
        <is>
          <t>113754/5</t>
        </is>
      </c>
      <c r="F72" s="94" t="inlineStr">
        <is>
          <t>Tetus</t>
        </is>
      </c>
      <c r="G72" s="94" t="inlineStr">
        <is>
          <t>T.I</t>
        </is>
      </c>
      <c r="H72" s="95" t="n">
        <v>207.04</v>
      </c>
    </row>
    <row r="73">
      <c r="A73" s="94" t="inlineStr">
        <is>
          <t>Mai/26</t>
        </is>
      </c>
      <c r="B73" s="94" t="inlineStr">
        <is>
          <t>2026-05-01 00:00:00</t>
        </is>
      </c>
      <c r="C73" s="94" t="inlineStr">
        <is>
          <t>Vale Alimentação Vinicius</t>
        </is>
      </c>
      <c r="D73" s="94" t="inlineStr"/>
      <c r="E73" s="94" t="inlineStr"/>
      <c r="F73" s="94" t="inlineStr">
        <is>
          <t>Tetus</t>
        </is>
      </c>
      <c r="G73" s="94" t="inlineStr">
        <is>
          <t>T.I</t>
        </is>
      </c>
      <c r="H73" s="95" t="n">
        <v>485</v>
      </c>
    </row>
    <row r="74">
      <c r="A74" s="94" t="inlineStr">
        <is>
          <t>Mai/26</t>
        </is>
      </c>
      <c r="B74" s="94" t="inlineStr">
        <is>
          <t>25/05/2026</t>
        </is>
      </c>
      <c r="C74" s="94" t="inlineStr">
        <is>
          <t>WEB MOBILE TELECOM LTDA</t>
        </is>
      </c>
      <c r="D74" s="94" t="inlineStr">
        <is>
          <t>NFS.1631</t>
        </is>
      </c>
      <c r="E74" s="94" t="inlineStr">
        <is>
          <t>107973/1</t>
        </is>
      </c>
      <c r="F74" s="94" t="inlineStr">
        <is>
          <t>Tetus</t>
        </is>
      </c>
      <c r="G74" s="94" t="inlineStr">
        <is>
          <t>T.I</t>
        </is>
      </c>
      <c r="H74" s="95" t="n">
        <v>75</v>
      </c>
    </row>
    <row r="75">
      <c r="A75" s="94" t="inlineStr">
        <is>
          <t>Jun/26</t>
        </is>
      </c>
      <c r="B75" s="94" t="inlineStr">
        <is>
          <t>05/06/2026</t>
        </is>
      </c>
      <c r="C75" s="94" t="inlineStr">
        <is>
          <t>ALFAMA PROCESSAMENTO DE DADOS LTDA</t>
        </is>
      </c>
      <c r="D75" s="94" t="inlineStr">
        <is>
          <t>AV.1015392</t>
        </is>
      </c>
      <c r="E75" s="94" t="inlineStr">
        <is>
          <t>108925/1</t>
        </is>
      </c>
      <c r="F75" s="94" t="inlineStr">
        <is>
          <t>Tetus</t>
        </is>
      </c>
      <c r="G75" s="94" t="inlineStr">
        <is>
          <t>T.I</t>
        </is>
      </c>
      <c r="H75" s="95" t="n">
        <v>183.6</v>
      </c>
    </row>
    <row r="76">
      <c r="A76" s="94" t="inlineStr">
        <is>
          <t>Jun/26</t>
        </is>
      </c>
      <c r="B76" s="94" t="inlineStr">
        <is>
          <t>30/06/2026</t>
        </is>
      </c>
      <c r="C76" s="94" t="inlineStr">
        <is>
          <t>CLARO S.A.</t>
        </is>
      </c>
      <c r="D76" s="94" t="inlineStr">
        <is>
          <t>FAT.21882309</t>
        </is>
      </c>
      <c r="E76" s="94" t="inlineStr">
        <is>
          <t>111124/1</t>
        </is>
      </c>
      <c r="F76" s="94" t="inlineStr">
        <is>
          <t>Tetus</t>
        </is>
      </c>
      <c r="G76" s="94" t="inlineStr">
        <is>
          <t>T.I</t>
        </is>
      </c>
      <c r="H76" s="95" t="n">
        <v>720</v>
      </c>
    </row>
    <row r="77">
      <c r="A77" s="94" t="inlineStr">
        <is>
          <t>Jun/26</t>
        </is>
      </c>
      <c r="B77" s="94" t="inlineStr">
        <is>
          <t>30/06/2026</t>
        </is>
      </c>
      <c r="C77" s="94" t="inlineStr">
        <is>
          <t>CLARO S.A.</t>
        </is>
      </c>
      <c r="D77" s="94" t="inlineStr">
        <is>
          <t>FAT.21882309</t>
        </is>
      </c>
      <c r="E77" s="94" t="inlineStr">
        <is>
          <t>111124/3</t>
        </is>
      </c>
      <c r="F77" s="94" t="inlineStr">
        <is>
          <t>Tetus</t>
        </is>
      </c>
      <c r="G77" s="94" t="inlineStr">
        <is>
          <t>T.I</t>
        </is>
      </c>
      <c r="H77" s="95" t="n">
        <v>20</v>
      </c>
    </row>
    <row r="78">
      <c r="A78" s="94" t="inlineStr">
        <is>
          <t>Jun/26</t>
        </is>
      </c>
      <c r="B78" s="94" t="inlineStr">
        <is>
          <t>30/06/2026</t>
        </is>
      </c>
      <c r="C78" s="94" t="inlineStr">
        <is>
          <t>INTELBRAS S.A. INDUSTRIA DE TELECOMUNICACAO ELETRONICA BRASILEIRA</t>
        </is>
      </c>
      <c r="D78" s="94" t="inlineStr">
        <is>
          <t>NFS.373725</t>
        </is>
      </c>
      <c r="E78" s="94" t="inlineStr">
        <is>
          <t>110785/1</t>
        </is>
      </c>
      <c r="F78" s="94" t="inlineStr">
        <is>
          <t>Tetus</t>
        </is>
      </c>
      <c r="G78" s="94" t="inlineStr">
        <is>
          <t>T.I</t>
        </is>
      </c>
      <c r="H78" s="95" t="n">
        <v>79.59999999999999</v>
      </c>
    </row>
    <row r="79">
      <c r="A79" s="94" t="inlineStr">
        <is>
          <t>Jun/26</t>
        </is>
      </c>
      <c r="B79" s="94" t="inlineStr">
        <is>
          <t>01/06/2026</t>
        </is>
      </c>
      <c r="C79" s="94" t="inlineStr">
        <is>
          <t>INTELBRAS S.A. INDUSTRIA DE TELECOMUNICACAO ELETRONICA BRASILEIRA</t>
        </is>
      </c>
      <c r="D79" s="94" t="inlineStr">
        <is>
          <t>NFS.0036884701</t>
        </is>
      </c>
      <c r="E79" s="94" t="inlineStr">
        <is>
          <t>109295/1</t>
        </is>
      </c>
      <c r="F79" s="94" t="inlineStr">
        <is>
          <t>Tetus</t>
        </is>
      </c>
      <c r="G79" s="94" t="inlineStr">
        <is>
          <t>T.I</t>
        </is>
      </c>
      <c r="H79" s="95" t="n">
        <v>84.81999999999999</v>
      </c>
    </row>
    <row r="80">
      <c r="A80" s="94" t="inlineStr">
        <is>
          <t>Jun/26</t>
        </is>
      </c>
      <c r="B80" s="94" t="inlineStr">
        <is>
          <t>01/06/2026</t>
        </is>
      </c>
      <c r="C80" s="94" t="inlineStr">
        <is>
          <t>J H ALVES - MONITOR REMOTO</t>
        </is>
      </c>
      <c r="D80" s="94" t="inlineStr">
        <is>
          <t>NFS.78</t>
        </is>
      </c>
      <c r="E80" s="94" t="inlineStr">
        <is>
          <t>108317/1</t>
        </is>
      </c>
      <c r="F80" s="94" t="inlineStr">
        <is>
          <t>Tetus</t>
        </is>
      </c>
      <c r="G80" s="94" t="inlineStr">
        <is>
          <t>T.I</t>
        </is>
      </c>
      <c r="H80" s="95" t="n">
        <v>6173.37</v>
      </c>
    </row>
    <row r="81">
      <c r="A81" s="94" t="inlineStr">
        <is>
          <t>Jun/26</t>
        </is>
      </c>
      <c r="B81" s="94" t="inlineStr">
        <is>
          <t>08/06/2026</t>
        </is>
      </c>
      <c r="C81" s="94" t="inlineStr">
        <is>
          <t>SABHA INTELIGENCIA EM TECNOLOGIA LTDA</t>
        </is>
      </c>
      <c r="D81" s="94" t="inlineStr">
        <is>
          <t>NFS.5832</t>
        </is>
      </c>
      <c r="E81" s="94" t="inlineStr">
        <is>
          <t>109227/1</t>
        </is>
      </c>
      <c r="F81" s="94" t="inlineStr">
        <is>
          <t>Tetus</t>
        </is>
      </c>
      <c r="G81" s="94" t="inlineStr">
        <is>
          <t>T.I</t>
        </is>
      </c>
      <c r="H81" s="95" t="n">
        <v>740.38</v>
      </c>
    </row>
    <row r="82">
      <c r="A82" s="94" t="inlineStr">
        <is>
          <t>Jun/26</t>
        </is>
      </c>
      <c r="B82" s="94" t="inlineStr">
        <is>
          <t>24/06/2026</t>
        </is>
      </c>
      <c r="C82" s="94" t="inlineStr">
        <is>
          <t>TELEFONICA BRASIL S.A.</t>
        </is>
      </c>
      <c r="D82" s="94" t="inlineStr">
        <is>
          <t>FAT.Vivo 04 2026</t>
        </is>
      </c>
      <c r="E82" s="94" t="inlineStr">
        <is>
          <t>110752/1</t>
        </is>
      </c>
      <c r="F82" s="94" t="inlineStr">
        <is>
          <t>Tetus</t>
        </is>
      </c>
      <c r="G82" s="94" t="inlineStr">
        <is>
          <t>T.I</t>
        </is>
      </c>
      <c r="H82" s="95" t="n">
        <v>184.86</v>
      </c>
    </row>
    <row r="83">
      <c r="A83" s="94" t="inlineStr">
        <is>
          <t>Jun/26</t>
        </is>
      </c>
      <c r="B83" s="94" t="inlineStr">
        <is>
          <t>24/06/2026</t>
        </is>
      </c>
      <c r="C83" s="94" t="inlineStr">
        <is>
          <t>TELEFONICA BRASIL S.A.</t>
        </is>
      </c>
      <c r="D83" s="94" t="inlineStr">
        <is>
          <t>FAT.Vivo 05 2026</t>
        </is>
      </c>
      <c r="E83" s="94" t="inlineStr">
        <is>
          <t>110753/1</t>
        </is>
      </c>
      <c r="F83" s="94" t="inlineStr">
        <is>
          <t>Tetus</t>
        </is>
      </c>
      <c r="G83" s="94" t="inlineStr">
        <is>
          <t>T.I</t>
        </is>
      </c>
      <c r="H83" s="95" t="n">
        <v>184.86</v>
      </c>
    </row>
    <row r="84">
      <c r="A84" s="94" t="inlineStr">
        <is>
          <t>Jun/26</t>
        </is>
      </c>
      <c r="B84" s="94" t="inlineStr">
        <is>
          <t>25/06/2026</t>
        </is>
      </c>
      <c r="C84" s="94" t="inlineStr">
        <is>
          <t>TELEFONICA BRASIL S.A.</t>
        </is>
      </c>
      <c r="D84" s="94" t="inlineStr">
        <is>
          <t>FAT.Vivo 06 2026</t>
        </is>
      </c>
      <c r="E84" s="94" t="inlineStr">
        <is>
          <t>110754/1</t>
        </is>
      </c>
      <c r="F84" s="94" t="inlineStr">
        <is>
          <t>Tetus</t>
        </is>
      </c>
      <c r="G84" s="94" t="inlineStr">
        <is>
          <t>T.I</t>
        </is>
      </c>
      <c r="H84" s="95" t="n">
        <v>184.86</v>
      </c>
    </row>
    <row r="85">
      <c r="A85" s="94" t="inlineStr">
        <is>
          <t>Jun/26</t>
        </is>
      </c>
      <c r="B85" s="94" t="inlineStr">
        <is>
          <t>15/06/2026</t>
        </is>
      </c>
      <c r="C85" s="94" t="inlineStr">
        <is>
          <t>VC1 SOLUCOES EM TECNOLOGIA EIRELI</t>
        </is>
      </c>
      <c r="D85" s="94" t="inlineStr">
        <is>
          <t>BOL.1017717992</t>
        </is>
      </c>
      <c r="E85" s="94" t="inlineStr">
        <is>
          <t>109298/1</t>
        </is>
      </c>
      <c r="F85" s="94" t="inlineStr">
        <is>
          <t>Tetus</t>
        </is>
      </c>
      <c r="G85" s="94" t="inlineStr">
        <is>
          <t>T.I</t>
        </is>
      </c>
      <c r="H85" s="95" t="n">
        <v>137.93</v>
      </c>
    </row>
    <row r="86">
      <c r="A86" s="94" t="inlineStr">
        <is>
          <t>Jun/26</t>
        </is>
      </c>
      <c r="B86" s="94" t="inlineStr">
        <is>
          <t>03/06/2026</t>
        </is>
      </c>
      <c r="C86" s="94" t="inlineStr">
        <is>
          <t>VINICIUS DI FRANCO HEITOR</t>
        </is>
      </c>
      <c r="D86" s="94" t="inlineStr">
        <is>
          <t>CX.27.05.26</t>
        </is>
      </c>
      <c r="E86" s="94" t="inlineStr">
        <is>
          <t>108827/1</t>
        </is>
      </c>
      <c r="F86" s="94" t="inlineStr">
        <is>
          <t>Tetus</t>
        </is>
      </c>
      <c r="G86" s="94" t="inlineStr">
        <is>
          <t>T.I</t>
        </is>
      </c>
      <c r="H86" s="95" t="n">
        <v>184</v>
      </c>
    </row>
    <row r="87">
      <c r="A87" s="94" t="inlineStr">
        <is>
          <t>Jun/26</t>
        </is>
      </c>
      <c r="B87" s="94" t="inlineStr">
        <is>
          <t>03/06/2026</t>
        </is>
      </c>
      <c r="C87" s="94" t="inlineStr">
        <is>
          <t>VINICIUS DI FRANCO HEITOR</t>
        </is>
      </c>
      <c r="D87" s="94" t="inlineStr">
        <is>
          <t>SAL.1_ Ferias 1 VIn D 26</t>
        </is>
      </c>
      <c r="E87" s="94" t="inlineStr">
        <is>
          <t>107780/1</t>
        </is>
      </c>
      <c r="F87" s="94" t="inlineStr">
        <is>
          <t>Tetus</t>
        </is>
      </c>
      <c r="G87" s="94" t="inlineStr">
        <is>
          <t>T.I</t>
        </is>
      </c>
      <c r="H87" s="95" t="n">
        <v>1101.12</v>
      </c>
    </row>
    <row r="88">
      <c r="A88" s="94" t="inlineStr">
        <is>
          <t>Jun/26</t>
        </is>
      </c>
      <c r="B88" s="94" t="inlineStr">
        <is>
          <t>05/06/2026</t>
        </is>
      </c>
      <c r="C88" s="94" t="inlineStr">
        <is>
          <t>VINICIUS DI FRANCO HEITOR</t>
        </is>
      </c>
      <c r="D88" s="94" t="inlineStr">
        <is>
          <t>SAL.sal 052026</t>
        </is>
      </c>
      <c r="E88" s="94" t="inlineStr">
        <is>
          <t>109482/1</t>
        </is>
      </c>
      <c r="F88" s="94" t="inlineStr">
        <is>
          <t>Tetus</t>
        </is>
      </c>
      <c r="G88" s="94" t="inlineStr">
        <is>
          <t>T.I</t>
        </is>
      </c>
      <c r="H88" s="95" t="n">
        <v>1455</v>
      </c>
    </row>
    <row r="89">
      <c r="A89" s="94" t="inlineStr">
        <is>
          <t>Jun/26</t>
        </is>
      </c>
      <c r="B89" s="94" t="inlineStr">
        <is>
          <t>19/06/2026</t>
        </is>
      </c>
      <c r="C89" s="94" t="inlineStr">
        <is>
          <t>VINICIUS DI FRANCO HEITOR</t>
        </is>
      </c>
      <c r="D89" s="94" t="inlineStr">
        <is>
          <t>SAL.SALARIO06VINI</t>
        </is>
      </c>
      <c r="E89" s="94" t="inlineStr">
        <is>
          <t>110700/1</t>
        </is>
      </c>
      <c r="F89" s="94" t="inlineStr">
        <is>
          <t>Tetus</t>
        </is>
      </c>
      <c r="G89" s="94" t="inlineStr">
        <is>
          <t>T.I</t>
        </is>
      </c>
      <c r="H89" s="95" t="n">
        <v>686</v>
      </c>
    </row>
    <row r="90">
      <c r="A90" s="94" t="inlineStr">
        <is>
          <t>Jun/26</t>
        </is>
      </c>
      <c r="B90" s="94" t="inlineStr">
        <is>
          <t>2026-06-20 00:00:00</t>
        </is>
      </c>
      <c r="C90" s="94" t="inlineStr">
        <is>
          <t>VINICIUS DI FRANCO HEITOR</t>
        </is>
      </c>
      <c r="D90" s="94" t="inlineStr">
        <is>
          <t>FGTS/INSS</t>
        </is>
      </c>
      <c r="E90" s="94" t="inlineStr">
        <is>
          <t>113754/6</t>
        </is>
      </c>
      <c r="F90" s="94" t="inlineStr">
        <is>
          <t>Tetus</t>
        </is>
      </c>
      <c r="G90" s="94" t="inlineStr">
        <is>
          <t>T.I</t>
        </is>
      </c>
      <c r="H90" s="95" t="n">
        <v>207.04</v>
      </c>
    </row>
    <row r="91">
      <c r="A91" s="94" t="inlineStr">
        <is>
          <t>Jun/26</t>
        </is>
      </c>
      <c r="B91" s="94" t="inlineStr">
        <is>
          <t>2026-06-01 00:00:00</t>
        </is>
      </c>
      <c r="C91" s="94" t="inlineStr">
        <is>
          <t>Vale Alimentação Vinicius</t>
        </is>
      </c>
      <c r="D91" s="94" t="inlineStr"/>
      <c r="E91" s="94" t="inlineStr"/>
      <c r="F91" s="94" t="inlineStr">
        <is>
          <t>Tetus</t>
        </is>
      </c>
      <c r="G91" s="94" t="inlineStr">
        <is>
          <t>T.I</t>
        </is>
      </c>
      <c r="H91" s="95" t="n">
        <v>485</v>
      </c>
    </row>
    <row r="92">
      <c r="A92" s="94" t="inlineStr">
        <is>
          <t>Jun/26</t>
        </is>
      </c>
      <c r="B92" s="94" t="inlineStr">
        <is>
          <t>25/06/2026</t>
        </is>
      </c>
      <c r="C92" s="94" t="inlineStr">
        <is>
          <t>WEB MOBILE TELECOM LTDA</t>
        </is>
      </c>
      <c r="D92" s="94" t="inlineStr">
        <is>
          <t>NFS.33</t>
        </is>
      </c>
      <c r="E92" s="94" t="inlineStr">
        <is>
          <t>110902/1</t>
        </is>
      </c>
      <c r="F92" s="94" t="inlineStr">
        <is>
          <t>Tetus</t>
        </is>
      </c>
      <c r="G92" s="94" t="inlineStr">
        <is>
          <t>T.I</t>
        </is>
      </c>
      <c r="H92" s="95" t="n">
        <v>75</v>
      </c>
    </row>
    <row r="93">
      <c r="A93" s="94" t="inlineStr">
        <is>
          <t>Jul/26</t>
        </is>
      </c>
      <c r="B93" s="94" t="inlineStr">
        <is>
          <t>28/07/2026</t>
        </is>
      </c>
      <c r="C93" s="94" t="inlineStr">
        <is>
          <t>CLARO S.A.</t>
        </is>
      </c>
      <c r="D93" s="94" t="inlineStr">
        <is>
          <t>FAT.Claro 07.26</t>
        </is>
      </c>
      <c r="E93" s="94" t="inlineStr">
        <is>
          <t>113575/1</t>
        </is>
      </c>
      <c r="F93" s="94" t="inlineStr">
        <is>
          <t>Tetus</t>
        </is>
      </c>
      <c r="G93" s="94" t="inlineStr">
        <is>
          <t>T.I</t>
        </is>
      </c>
      <c r="H93" s="95" t="n">
        <v>20.39</v>
      </c>
    </row>
    <row r="94">
      <c r="A94" s="94" t="inlineStr">
        <is>
          <t>Jul/26</t>
        </is>
      </c>
      <c r="B94" s="94" t="inlineStr">
        <is>
          <t>28/07/2026</t>
        </is>
      </c>
      <c r="C94" s="94" t="inlineStr">
        <is>
          <t>CLARO S.A.</t>
        </is>
      </c>
      <c r="D94" s="94" t="inlineStr">
        <is>
          <t>FAT.Claro 07.26</t>
        </is>
      </c>
      <c r="E94" s="94" t="inlineStr">
        <is>
          <t>113575/2</t>
        </is>
      </c>
      <c r="F94" s="94" t="inlineStr">
        <is>
          <t>Tetus</t>
        </is>
      </c>
      <c r="G94" s="94" t="inlineStr">
        <is>
          <t>T.I</t>
        </is>
      </c>
      <c r="H94" s="95" t="n">
        <v>133.73</v>
      </c>
    </row>
    <row r="95">
      <c r="A95" s="94" t="inlineStr">
        <is>
          <t>Jul/26</t>
        </is>
      </c>
      <c r="B95" s="94" t="inlineStr">
        <is>
          <t>28/07/2026</t>
        </is>
      </c>
      <c r="C95" s="94" t="inlineStr">
        <is>
          <t>CLARO S.A.</t>
        </is>
      </c>
      <c r="D95" s="94" t="inlineStr">
        <is>
          <t>FAT.Claro 07.26</t>
        </is>
      </c>
      <c r="E95" s="94" t="inlineStr">
        <is>
          <t>113575/3</t>
        </is>
      </c>
      <c r="F95" s="94" t="inlineStr">
        <is>
          <t>Tetus</t>
        </is>
      </c>
      <c r="G95" s="94" t="inlineStr">
        <is>
          <t>T.I</t>
        </is>
      </c>
      <c r="H95" s="95" t="n">
        <v>825.28</v>
      </c>
    </row>
    <row r="96">
      <c r="A96" s="94" t="inlineStr">
        <is>
          <t>Jul/26</t>
        </is>
      </c>
      <c r="B96" s="94" t="inlineStr">
        <is>
          <t>30/07/2026</t>
        </is>
      </c>
      <c r="C96" s="94" t="inlineStr">
        <is>
          <t>INTELBRAS S.A. INDUSTRIA DE TELECOMUNICACAO ELETRONICA BRASILEIRA</t>
        </is>
      </c>
      <c r="D96" s="94" t="inlineStr">
        <is>
          <t>NFS.377682</t>
        </is>
      </c>
      <c r="E96" s="94" t="inlineStr">
        <is>
          <t>114092/1</t>
        </is>
      </c>
      <c r="F96" s="94" t="inlineStr">
        <is>
          <t>Tetus</t>
        </is>
      </c>
      <c r="G96" s="94" t="inlineStr">
        <is>
          <t>T.I</t>
        </is>
      </c>
      <c r="H96" s="95" t="n">
        <v>79.59999999999999</v>
      </c>
    </row>
    <row r="97">
      <c r="A97" s="94" t="inlineStr">
        <is>
          <t>Jul/26</t>
        </is>
      </c>
      <c r="B97" s="94" t="inlineStr">
        <is>
          <t>01/07/2026</t>
        </is>
      </c>
      <c r="C97" s="94" t="inlineStr">
        <is>
          <t>J H ALVES - MONITOR REMOTO</t>
        </is>
      </c>
      <c r="D97" s="94" t="inlineStr">
        <is>
          <t>NFS.3</t>
        </is>
      </c>
      <c r="E97" s="94" t="inlineStr">
        <is>
          <t>111371/1</t>
        </is>
      </c>
      <c r="F97" s="94" t="inlineStr">
        <is>
          <t>Tetus</t>
        </is>
      </c>
      <c r="G97" s="94" t="inlineStr">
        <is>
          <t>T.I</t>
        </is>
      </c>
      <c r="H97" s="95" t="n">
        <v>6300</v>
      </c>
    </row>
    <row r="98">
      <c r="A98" s="94" t="inlineStr">
        <is>
          <t>Jul/26</t>
        </is>
      </c>
      <c r="B98" s="94" t="inlineStr">
        <is>
          <t>25/07/2026</t>
        </is>
      </c>
      <c r="C98" s="94" t="inlineStr">
        <is>
          <t>LOCAWEB SERVICOS DE INTERNET S/A</t>
        </is>
      </c>
      <c r="D98" s="94" t="inlineStr">
        <is>
          <t>BOL.LOCAWEB 07.26</t>
        </is>
      </c>
      <c r="E98" s="94" t="inlineStr">
        <is>
          <t>113049/1</t>
        </is>
      </c>
      <c r="F98" s="94" t="inlineStr">
        <is>
          <t>Tetus</t>
        </is>
      </c>
      <c r="G98" s="94" t="inlineStr">
        <is>
          <t>T.I</t>
        </is>
      </c>
      <c r="H98" s="95" t="n">
        <v>1151.26</v>
      </c>
    </row>
    <row r="99">
      <c r="A99" s="94" t="inlineStr">
        <is>
          <t>Jul/26</t>
        </is>
      </c>
      <c r="B99" s="94" t="inlineStr">
        <is>
          <t>30/07/2026</t>
        </is>
      </c>
      <c r="C99" s="94" t="inlineStr">
        <is>
          <t>SABHA INTELIGENCIA EM TECNOLOGIA LTDA</t>
        </is>
      </c>
      <c r="D99" s="94" t="inlineStr">
        <is>
          <t>NFS.66</t>
        </is>
      </c>
      <c r="E99" s="94" t="inlineStr">
        <is>
          <t>112107/1</t>
        </is>
      </c>
      <c r="F99" s="94" t="inlineStr">
        <is>
          <t>Tetus</t>
        </is>
      </c>
      <c r="G99" s="94" t="inlineStr">
        <is>
          <t>T.I</t>
        </is>
      </c>
      <c r="H99" s="95" t="n">
        <v>1037.38</v>
      </c>
    </row>
    <row r="100">
      <c r="A100" s="94" t="inlineStr">
        <is>
          <t>Jul/26</t>
        </is>
      </c>
      <c r="B100" s="94" t="inlineStr">
        <is>
          <t>06/07/2026</t>
        </is>
      </c>
      <c r="C100" s="94" t="inlineStr">
        <is>
          <t>VINICIUS DI FRANCO HEITOR</t>
        </is>
      </c>
      <c r="D100" s="94" t="inlineStr">
        <is>
          <t>SAL.sal 0626</t>
        </is>
      </c>
      <c r="E100" s="94" t="inlineStr">
        <is>
          <t>112402/1</t>
        </is>
      </c>
      <c r="F100" s="94" t="inlineStr">
        <is>
          <t>Tetus</t>
        </is>
      </c>
      <c r="G100" s="94" t="inlineStr">
        <is>
          <t>T.I</t>
        </is>
      </c>
      <c r="H100" s="95" t="n">
        <v>1225</v>
      </c>
    </row>
    <row r="101">
      <c r="A101" s="94" t="inlineStr">
        <is>
          <t>Jul/26</t>
        </is>
      </c>
      <c r="B101" s="94" t="inlineStr">
        <is>
          <t>20/07/2026</t>
        </is>
      </c>
      <c r="C101" s="94" t="inlineStr">
        <is>
          <t>VINICIUS DI FRANCO HEITOR</t>
        </is>
      </c>
      <c r="D101" s="94" t="inlineStr">
        <is>
          <t>FGTS/INSS</t>
        </is>
      </c>
      <c r="E101" s="94" t="inlineStr">
        <is>
          <t>113754/1</t>
        </is>
      </c>
      <c r="F101" s="94" t="inlineStr">
        <is>
          <t>Tetus</t>
        </is>
      </c>
      <c r="G101" s="94" t="inlineStr">
        <is>
          <t>T.I</t>
        </is>
      </c>
      <c r="H101" s="95" t="n">
        <v>1029</v>
      </c>
    </row>
    <row r="102">
      <c r="A102" s="94" t="inlineStr">
        <is>
          <t>Jul/26</t>
        </is>
      </c>
      <c r="B102" s="94" t="inlineStr">
        <is>
          <t>20/07/2026</t>
        </is>
      </c>
      <c r="C102" s="94" t="inlineStr">
        <is>
          <t>VINICIUS DI FRANCO HEITOR</t>
        </is>
      </c>
      <c r="D102" s="94" t="inlineStr">
        <is>
          <t>FGTS/INSS</t>
        </is>
      </c>
      <c r="E102" s="94" t="inlineStr">
        <is>
          <t>113754/7</t>
        </is>
      </c>
      <c r="F102" s="94" t="inlineStr">
        <is>
          <t>Tetus</t>
        </is>
      </c>
      <c r="G102" s="94" t="inlineStr">
        <is>
          <t>T.I</t>
        </is>
      </c>
      <c r="H102" s="95" t="n">
        <v>207.04</v>
      </c>
    </row>
    <row r="103">
      <c r="A103" s="94" t="inlineStr">
        <is>
          <t>Jul/26</t>
        </is>
      </c>
      <c r="B103" s="94" t="inlineStr">
        <is>
          <t>2026-07-01 00:00:00</t>
        </is>
      </c>
      <c r="C103" s="94" t="inlineStr">
        <is>
          <t>Vale Alimentação Vinicius</t>
        </is>
      </c>
      <c r="D103" s="94" t="inlineStr"/>
      <c r="E103" s="94" t="inlineStr"/>
      <c r="F103" s="94" t="inlineStr">
        <is>
          <t>Tetus</t>
        </is>
      </c>
      <c r="G103" s="94" t="inlineStr">
        <is>
          <t>T.I</t>
        </is>
      </c>
      <c r="H103" s="95" t="n">
        <v>485</v>
      </c>
    </row>
    <row r="104">
      <c r="A104" s="94" t="inlineStr">
        <is>
          <t>Jul/26</t>
        </is>
      </c>
      <c r="B104" s="94" t="inlineStr">
        <is>
          <t>25/07/2026</t>
        </is>
      </c>
      <c r="C104" s="94" t="inlineStr">
        <is>
          <t>WEB MOBILE TELECOM LTDA</t>
        </is>
      </c>
      <c r="D104" s="94" t="inlineStr">
        <is>
          <t>NFS.84</t>
        </is>
      </c>
      <c r="E104" s="94" t="inlineStr">
        <is>
          <t>113583/1</t>
        </is>
      </c>
      <c r="F104" s="94" t="inlineStr">
        <is>
          <t>Tetus</t>
        </is>
      </c>
      <c r="G104" s="94" t="inlineStr">
        <is>
          <t>T.I</t>
        </is>
      </c>
      <c r="H104" s="95" t="n">
        <v>82.5</v>
      </c>
    </row>
    <row r="105">
      <c r="G105" s="96" t="inlineStr">
        <is>
          <t>TOTAL</t>
        </is>
      </c>
      <c r="H105" s="97">
        <f>SUM(H5:H104)</f>
        <v/>
      </c>
    </row>
  </sheetData>
  <autoFilter ref="A4:H104"/>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2026-08-07T15:00:33Z</dcterms:created>
  <dcterms:modified xsi:type="dcterms:W3CDTF">2026-08-07T15:00:33Z</dcterms:modified>
</cp:coreProperties>
</file>